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mufhatutshedzwanemakhavhani/Desktop/A311 2023/"/>
    </mc:Choice>
  </mc:AlternateContent>
  <xr:revisionPtr revIDLastSave="0" documentId="8_{098CAB03-9728-8F40-AF95-5947C54FD36B}" xr6:coauthVersionLast="47" xr6:coauthVersionMax="47" xr10:uidLastSave="{00000000-0000-0000-0000-000000000000}"/>
  <bookViews>
    <workbookView xWindow="0" yWindow="0" windowWidth="28800" windowHeight="18000" xr2:uid="{216E1D78-D27C-3E4E-AACE-4E05FE13A85A}"/>
  </bookViews>
  <sheets>
    <sheet name="Life Insurance Products" sheetId="1" r:id="rId1"/>
    <sheet name="Health Insurance Products" sheetId="6" r:id="rId2"/>
    <sheet name="General Insurance Products" sheetId="3" r:id="rId3"/>
    <sheet name="Investments" sheetId="2" r:id="rId4"/>
    <sheet name="ACC" sheetId="7" r:id="rId5"/>
    <sheet name="Framework" sheetId="8" r:id="rId6"/>
    <sheet name="Behaviour of the markets" sheetId="4" r:id="rId7"/>
    <sheet name="Data and Assumptions Required" sheetId="9" r:id="rId8"/>
    <sheet name="Modelling type Qs" sheetId="11" r:id="rId9"/>
    <sheet name="Sheet4" sheetId="10" r:id="rId10"/>
    <sheet name="Sheet1" sheetId="12" r:id="rId11"/>
    <sheet name="Sheet5" sheetId="5" r:id="rId1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5" l="1"/>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C4" i="5"/>
  <c r="C5" i="5"/>
  <c r="C6" i="5"/>
  <c r="C7" i="5"/>
  <c r="C8" i="5"/>
  <c r="C9" i="5"/>
  <c r="C10" i="5"/>
  <c r="C11" i="5"/>
  <c r="C12" i="5"/>
  <c r="C13" i="5"/>
  <c r="C14" i="5"/>
  <c r="C15" i="5"/>
  <c r="C16" i="5"/>
  <c r="C17" i="5"/>
  <c r="C18" i="5"/>
  <c r="C19" i="5"/>
  <c r="C20" i="5"/>
  <c r="B5" i="5"/>
  <c r="B6" i="5" s="1"/>
  <c r="B7" i="5" s="1"/>
  <c r="B8" i="5" s="1"/>
  <c r="B9" i="5" s="1"/>
  <c r="B10" i="5" s="1"/>
  <c r="B11" i="5" s="1"/>
  <c r="B12" i="5" s="1"/>
  <c r="B13" i="5" s="1"/>
  <c r="B14" i="5" s="1"/>
  <c r="B15" i="5" s="1"/>
  <c r="B16" i="5" s="1"/>
  <c r="B17" i="5" s="1"/>
  <c r="B18" i="5" s="1"/>
  <c r="B19" i="5" s="1"/>
  <c r="B20" i="5" s="1"/>
  <c r="B4" i="5"/>
  <c r="K4" i="5"/>
  <c r="K5" i="5"/>
  <c r="K6" i="5"/>
  <c r="K7" i="5"/>
  <c r="K8" i="5"/>
  <c r="K9" i="5"/>
  <c r="K10" i="5"/>
  <c r="K11" i="5"/>
  <c r="K12" i="5"/>
  <c r="K13" i="5"/>
  <c r="K14" i="5"/>
  <c r="K15" i="5"/>
  <c r="K16" i="5"/>
  <c r="K17" i="5"/>
  <c r="K18" i="5"/>
  <c r="K19" i="5"/>
  <c r="K20" i="5"/>
  <c r="K3" i="5"/>
  <c r="P1" i="5"/>
  <c r="C3" i="5"/>
  <c r="L129" i="5" l="1"/>
  <c r="M129" i="5" s="1"/>
  <c r="N129" i="5" s="1"/>
  <c r="L125" i="5"/>
  <c r="M125" i="5" s="1"/>
  <c r="N125" i="5" s="1"/>
  <c r="L121" i="5"/>
  <c r="M121" i="5" s="1"/>
  <c r="N121" i="5" s="1"/>
  <c r="L117" i="5"/>
  <c r="M117" i="5" s="1"/>
  <c r="N117" i="5" s="1"/>
  <c r="L113" i="5"/>
  <c r="M113" i="5" s="1"/>
  <c r="N113" i="5" s="1"/>
  <c r="L109" i="5"/>
  <c r="M109" i="5" s="1"/>
  <c r="N109" i="5" s="1"/>
  <c r="L105" i="5"/>
  <c r="M105" i="5" s="1"/>
  <c r="N105" i="5" s="1"/>
  <c r="L101" i="5"/>
  <c r="M101" i="5" s="1"/>
  <c r="N101" i="5" s="1"/>
  <c r="L97" i="5"/>
  <c r="M97" i="5" s="1"/>
  <c r="N97" i="5" s="1"/>
  <c r="L93" i="5"/>
  <c r="M93" i="5" s="1"/>
  <c r="N93" i="5" s="1"/>
  <c r="L89" i="5"/>
  <c r="M89" i="5" s="1"/>
  <c r="N89" i="5" s="1"/>
  <c r="L85" i="5"/>
  <c r="M85" i="5" s="1"/>
  <c r="N85" i="5" s="1"/>
  <c r="L81" i="5"/>
  <c r="M81" i="5" s="1"/>
  <c r="N81" i="5" s="1"/>
  <c r="L77" i="5"/>
  <c r="M77" i="5" s="1"/>
  <c r="N77" i="5" s="1"/>
  <c r="L73" i="5"/>
  <c r="M73" i="5" s="1"/>
  <c r="N73" i="5" s="1"/>
  <c r="L69" i="5"/>
  <c r="M69" i="5" s="1"/>
  <c r="N69" i="5" s="1"/>
  <c r="L65" i="5"/>
  <c r="M65" i="5" s="1"/>
  <c r="N65" i="5" s="1"/>
  <c r="L61" i="5"/>
  <c r="M61" i="5" s="1"/>
  <c r="N61" i="5" s="1"/>
  <c r="L57" i="5"/>
  <c r="M57" i="5" s="1"/>
  <c r="N57" i="5" s="1"/>
  <c r="L53" i="5"/>
  <c r="M53" i="5" s="1"/>
  <c r="N53" i="5" s="1"/>
  <c r="L49" i="5"/>
  <c r="M49" i="5" s="1"/>
  <c r="N49" i="5" s="1"/>
  <c r="L45" i="5"/>
  <c r="M45" i="5" s="1"/>
  <c r="N45" i="5" s="1"/>
  <c r="L41" i="5"/>
  <c r="M41" i="5" s="1"/>
  <c r="N41" i="5" s="1"/>
  <c r="L37" i="5"/>
  <c r="M37" i="5" s="1"/>
  <c r="N37" i="5" s="1"/>
  <c r="L33" i="5"/>
  <c r="M33" i="5" s="1"/>
  <c r="N33" i="5" s="1"/>
  <c r="L29" i="5"/>
  <c r="M29" i="5" s="1"/>
  <c r="N29" i="5" s="1"/>
  <c r="L25" i="5"/>
  <c r="M25" i="5" s="1"/>
  <c r="N25" i="5" s="1"/>
  <c r="L21" i="5"/>
  <c r="M21" i="5" s="1"/>
  <c r="N21" i="5" s="1"/>
  <c r="L128" i="5"/>
  <c r="M128" i="5" s="1"/>
  <c r="N128" i="5" s="1"/>
  <c r="L124" i="5"/>
  <c r="M124" i="5" s="1"/>
  <c r="N124" i="5" s="1"/>
  <c r="L120" i="5"/>
  <c r="M120" i="5" s="1"/>
  <c r="N120" i="5" s="1"/>
  <c r="L116" i="5"/>
  <c r="M116" i="5" s="1"/>
  <c r="N116" i="5" s="1"/>
  <c r="L112" i="5"/>
  <c r="M112" i="5" s="1"/>
  <c r="N112" i="5" s="1"/>
  <c r="L108" i="5"/>
  <c r="M108" i="5" s="1"/>
  <c r="N108" i="5" s="1"/>
  <c r="L104" i="5"/>
  <c r="M104" i="5" s="1"/>
  <c r="N104" i="5" s="1"/>
  <c r="L100" i="5"/>
  <c r="M100" i="5" s="1"/>
  <c r="N100" i="5" s="1"/>
  <c r="L96" i="5"/>
  <c r="M96" i="5" s="1"/>
  <c r="N96" i="5" s="1"/>
  <c r="L92" i="5"/>
  <c r="M92" i="5" s="1"/>
  <c r="N92" i="5" s="1"/>
  <c r="L88" i="5"/>
  <c r="M88" i="5" s="1"/>
  <c r="N88" i="5" s="1"/>
  <c r="L84" i="5"/>
  <c r="M84" i="5" s="1"/>
  <c r="N84" i="5" s="1"/>
  <c r="L80" i="5"/>
  <c r="M80" i="5" s="1"/>
  <c r="N80" i="5" s="1"/>
  <c r="L76" i="5"/>
  <c r="M76" i="5" s="1"/>
  <c r="N76" i="5" s="1"/>
  <c r="L72" i="5"/>
  <c r="M72" i="5" s="1"/>
  <c r="N72" i="5" s="1"/>
  <c r="L68" i="5"/>
  <c r="M68" i="5" s="1"/>
  <c r="N68" i="5" s="1"/>
  <c r="L64" i="5"/>
  <c r="M64" i="5" s="1"/>
  <c r="N64" i="5" s="1"/>
  <c r="L60" i="5"/>
  <c r="M60" i="5" s="1"/>
  <c r="N60" i="5" s="1"/>
  <c r="L56" i="5"/>
  <c r="M56" i="5" s="1"/>
  <c r="N56" i="5" s="1"/>
  <c r="L52" i="5"/>
  <c r="M52" i="5" s="1"/>
  <c r="N52" i="5" s="1"/>
  <c r="L48" i="5"/>
  <c r="M48" i="5" s="1"/>
  <c r="N48" i="5" s="1"/>
  <c r="L44" i="5"/>
  <c r="M44" i="5" s="1"/>
  <c r="N44" i="5" s="1"/>
  <c r="L40" i="5"/>
  <c r="M40" i="5" s="1"/>
  <c r="N40" i="5" s="1"/>
  <c r="L36" i="5"/>
  <c r="M36" i="5" s="1"/>
  <c r="N36" i="5" s="1"/>
  <c r="L32" i="5"/>
  <c r="M32" i="5" s="1"/>
  <c r="N32" i="5" s="1"/>
  <c r="L28" i="5"/>
  <c r="M28" i="5" s="1"/>
  <c r="N28" i="5" s="1"/>
  <c r="L24" i="5"/>
  <c r="M24" i="5" s="1"/>
  <c r="N24" i="5" s="1"/>
  <c r="L127" i="5"/>
  <c r="M127" i="5" s="1"/>
  <c r="N127" i="5" s="1"/>
  <c r="L123" i="5"/>
  <c r="M123" i="5" s="1"/>
  <c r="N123" i="5" s="1"/>
  <c r="L119" i="5"/>
  <c r="M119" i="5" s="1"/>
  <c r="N119" i="5" s="1"/>
  <c r="L115" i="5"/>
  <c r="M115" i="5" s="1"/>
  <c r="N115" i="5" s="1"/>
  <c r="L111" i="5"/>
  <c r="M111" i="5" s="1"/>
  <c r="N111" i="5" s="1"/>
  <c r="L107" i="5"/>
  <c r="M107" i="5" s="1"/>
  <c r="N107" i="5" s="1"/>
  <c r="L103" i="5"/>
  <c r="M103" i="5" s="1"/>
  <c r="N103" i="5" s="1"/>
  <c r="L99" i="5"/>
  <c r="M99" i="5" s="1"/>
  <c r="N99" i="5" s="1"/>
  <c r="L95" i="5"/>
  <c r="M95" i="5" s="1"/>
  <c r="N95" i="5" s="1"/>
  <c r="L91" i="5"/>
  <c r="M91" i="5" s="1"/>
  <c r="N91" i="5" s="1"/>
  <c r="L87" i="5"/>
  <c r="M87" i="5" s="1"/>
  <c r="N87" i="5" s="1"/>
  <c r="L83" i="5"/>
  <c r="M83" i="5" s="1"/>
  <c r="N83" i="5" s="1"/>
  <c r="L79" i="5"/>
  <c r="M79" i="5" s="1"/>
  <c r="N79" i="5" s="1"/>
  <c r="L75" i="5"/>
  <c r="M75" i="5" s="1"/>
  <c r="N75" i="5" s="1"/>
  <c r="L71" i="5"/>
  <c r="M71" i="5" s="1"/>
  <c r="N71" i="5" s="1"/>
  <c r="L67" i="5"/>
  <c r="M67" i="5" s="1"/>
  <c r="N67" i="5" s="1"/>
  <c r="L63" i="5"/>
  <c r="M63" i="5" s="1"/>
  <c r="N63" i="5" s="1"/>
  <c r="L59" i="5"/>
  <c r="M59" i="5" s="1"/>
  <c r="N59" i="5" s="1"/>
  <c r="L55" i="5"/>
  <c r="M55" i="5" s="1"/>
  <c r="N55" i="5" s="1"/>
  <c r="L51" i="5"/>
  <c r="M51" i="5" s="1"/>
  <c r="N51" i="5" s="1"/>
  <c r="L47" i="5"/>
  <c r="M47" i="5" s="1"/>
  <c r="N47" i="5" s="1"/>
  <c r="L43" i="5"/>
  <c r="M43" i="5" s="1"/>
  <c r="N43" i="5" s="1"/>
  <c r="L39" i="5"/>
  <c r="M39" i="5" s="1"/>
  <c r="N39" i="5" s="1"/>
  <c r="L35" i="5"/>
  <c r="M35" i="5" s="1"/>
  <c r="N35" i="5" s="1"/>
  <c r="L31" i="5"/>
  <c r="M31" i="5" s="1"/>
  <c r="N31" i="5" s="1"/>
  <c r="L27" i="5"/>
  <c r="M27" i="5" s="1"/>
  <c r="N27" i="5" s="1"/>
  <c r="L23" i="5"/>
  <c r="M23" i="5" s="1"/>
  <c r="N23" i="5" s="1"/>
  <c r="L19" i="5"/>
  <c r="M19" i="5" s="1"/>
  <c r="L15" i="5"/>
  <c r="M15" i="5" s="1"/>
  <c r="N15" i="5" s="1"/>
  <c r="L11" i="5"/>
  <c r="M11" i="5" s="1"/>
  <c r="N11" i="5" s="1"/>
  <c r="L7" i="5"/>
  <c r="M7" i="5" s="1"/>
  <c r="F7" i="5" s="1"/>
  <c r="G7" i="5" s="1"/>
  <c r="L130" i="5"/>
  <c r="M130" i="5" s="1"/>
  <c r="N130" i="5" s="1"/>
  <c r="L126" i="5"/>
  <c r="M126" i="5" s="1"/>
  <c r="N126" i="5" s="1"/>
  <c r="L122" i="5"/>
  <c r="M122" i="5" s="1"/>
  <c r="N122" i="5" s="1"/>
  <c r="L118" i="5"/>
  <c r="M118" i="5" s="1"/>
  <c r="N118" i="5" s="1"/>
  <c r="L114" i="5"/>
  <c r="M114" i="5" s="1"/>
  <c r="N114" i="5" s="1"/>
  <c r="L110" i="5"/>
  <c r="M110" i="5" s="1"/>
  <c r="N110" i="5" s="1"/>
  <c r="L106" i="5"/>
  <c r="M106" i="5" s="1"/>
  <c r="N106" i="5" s="1"/>
  <c r="L102" i="5"/>
  <c r="M102" i="5" s="1"/>
  <c r="N102" i="5" s="1"/>
  <c r="L98" i="5"/>
  <c r="M98" i="5" s="1"/>
  <c r="N98" i="5" s="1"/>
  <c r="L94" i="5"/>
  <c r="M94" i="5" s="1"/>
  <c r="N94" i="5" s="1"/>
  <c r="L90" i="5"/>
  <c r="M90" i="5" s="1"/>
  <c r="N90" i="5" s="1"/>
  <c r="L86" i="5"/>
  <c r="M86" i="5" s="1"/>
  <c r="N86" i="5" s="1"/>
  <c r="L82" i="5"/>
  <c r="M82" i="5" s="1"/>
  <c r="N82" i="5" s="1"/>
  <c r="L78" i="5"/>
  <c r="M78" i="5" s="1"/>
  <c r="N78" i="5" s="1"/>
  <c r="L74" i="5"/>
  <c r="M74" i="5" s="1"/>
  <c r="N74" i="5" s="1"/>
  <c r="L70" i="5"/>
  <c r="M70" i="5" s="1"/>
  <c r="N70" i="5" s="1"/>
  <c r="L66" i="5"/>
  <c r="M66" i="5" s="1"/>
  <c r="N66" i="5" s="1"/>
  <c r="L62" i="5"/>
  <c r="M62" i="5" s="1"/>
  <c r="N62" i="5" s="1"/>
  <c r="L58" i="5"/>
  <c r="M58" i="5" s="1"/>
  <c r="N58" i="5" s="1"/>
  <c r="L54" i="5"/>
  <c r="M54" i="5" s="1"/>
  <c r="N54" i="5" s="1"/>
  <c r="L50" i="5"/>
  <c r="M50" i="5" s="1"/>
  <c r="N50" i="5" s="1"/>
  <c r="L46" i="5"/>
  <c r="M46" i="5" s="1"/>
  <c r="N46" i="5" s="1"/>
  <c r="L42" i="5"/>
  <c r="M42" i="5" s="1"/>
  <c r="N42" i="5" s="1"/>
  <c r="L38" i="5"/>
  <c r="M38" i="5" s="1"/>
  <c r="N38" i="5" s="1"/>
  <c r="L34" i="5"/>
  <c r="M34" i="5" s="1"/>
  <c r="N34" i="5" s="1"/>
  <c r="L30" i="5"/>
  <c r="M30" i="5" s="1"/>
  <c r="N30" i="5" s="1"/>
  <c r="L26" i="5"/>
  <c r="M26" i="5" s="1"/>
  <c r="N26" i="5" s="1"/>
  <c r="L22" i="5"/>
  <c r="M22" i="5" s="1"/>
  <c r="N22" i="5" s="1"/>
  <c r="L18" i="5"/>
  <c r="M18" i="5" s="1"/>
  <c r="L14" i="5"/>
  <c r="M14" i="5" s="1"/>
  <c r="L10" i="5"/>
  <c r="M10" i="5" s="1"/>
  <c r="F10" i="5" s="1"/>
  <c r="G10" i="5" s="1"/>
  <c r="L6" i="5"/>
  <c r="M6" i="5" s="1"/>
  <c r="F6" i="5" s="1"/>
  <c r="G6" i="5" s="1"/>
  <c r="L17" i="5"/>
  <c r="M17" i="5" s="1"/>
  <c r="L13" i="5"/>
  <c r="M13" i="5" s="1"/>
  <c r="N13" i="5" s="1"/>
  <c r="L9" i="5"/>
  <c r="M9" i="5" s="1"/>
  <c r="D9" i="5" s="1"/>
  <c r="L5" i="5"/>
  <c r="M5" i="5" s="1"/>
  <c r="F5" i="5" s="1"/>
  <c r="G5" i="5" s="1"/>
  <c r="L20" i="5"/>
  <c r="M20" i="5" s="1"/>
  <c r="L16" i="5"/>
  <c r="M16" i="5" s="1"/>
  <c r="N16" i="5" s="1"/>
  <c r="L12" i="5"/>
  <c r="M12" i="5" s="1"/>
  <c r="L8" i="5"/>
  <c r="M8" i="5" s="1"/>
  <c r="F8" i="5" s="1"/>
  <c r="G8" i="5" s="1"/>
  <c r="L4" i="5"/>
  <c r="M4" i="5" s="1"/>
  <c r="L3" i="5"/>
  <c r="M3" i="5" s="1"/>
  <c r="D11" i="5" l="1"/>
  <c r="F11" i="5"/>
  <c r="G11" i="5" s="1"/>
  <c r="D4" i="5"/>
  <c r="N4" i="5"/>
  <c r="D18" i="5"/>
  <c r="N18" i="5"/>
  <c r="F19" i="5"/>
  <c r="G19" i="5" s="1"/>
  <c r="N19" i="5"/>
  <c r="D20" i="5"/>
  <c r="N20" i="5"/>
  <c r="D8" i="5"/>
  <c r="N8" i="5"/>
  <c r="D6" i="5"/>
  <c r="N6" i="5"/>
  <c r="D7" i="5"/>
  <c r="N7" i="5"/>
  <c r="D14" i="5"/>
  <c r="N14" i="5"/>
  <c r="F16" i="5"/>
  <c r="G16" i="5" s="1"/>
  <c r="F13" i="5"/>
  <c r="G13" i="5" s="1"/>
  <c r="D15" i="5"/>
  <c r="D17" i="5"/>
  <c r="N17" i="5"/>
  <c r="F14" i="5"/>
  <c r="G14" i="5" s="1"/>
  <c r="D16" i="5"/>
  <c r="D5" i="5"/>
  <c r="N5" i="5"/>
  <c r="F15" i="5"/>
  <c r="G15" i="5" s="1"/>
  <c r="D13" i="5"/>
  <c r="F12" i="5"/>
  <c r="G12" i="5" s="1"/>
  <c r="N12" i="5"/>
  <c r="F9" i="5"/>
  <c r="G9" i="5" s="1"/>
  <c r="N9" i="5"/>
  <c r="D10" i="5"/>
  <c r="N10" i="5"/>
  <c r="D12" i="5"/>
  <c r="D3" i="5"/>
  <c r="N3" i="5"/>
  <c r="F4" i="5"/>
  <c r="G4" i="5" s="1"/>
  <c r="F20" i="5"/>
  <c r="G20" i="5" s="1"/>
  <c r="D19" i="5"/>
  <c r="F17" i="5"/>
  <c r="G17" i="5" s="1"/>
  <c r="F18" i="5"/>
  <c r="G18" i="5" s="1"/>
  <c r="F3" i="5"/>
  <c r="G3" i="5" s="1"/>
</calcChain>
</file>

<file path=xl/sharedStrings.xml><?xml version="1.0" encoding="utf-8"?>
<sst xmlns="http://schemas.openxmlformats.org/spreadsheetml/2006/main" count="551" uniqueCount="517">
  <si>
    <t>E - Expenses</t>
  </si>
  <si>
    <t>T - Tax</t>
  </si>
  <si>
    <t>Y - Yield (Expected return)</t>
  </si>
  <si>
    <t>Cash and Money Markets</t>
  </si>
  <si>
    <t>Lower expected returns than equities or bonds over the long term</t>
  </si>
  <si>
    <t>System T</t>
  </si>
  <si>
    <t>Yield (Gross redemption yield) is fixed in nominal terms)</t>
  </si>
  <si>
    <t>Stable market values</t>
  </si>
  <si>
    <t>Short-term</t>
  </si>
  <si>
    <t>Low dealing expenses</t>
  </si>
  <si>
    <t>Lower expected returns than equities over the long term</t>
  </si>
  <si>
    <t>Market values can be volatile especially for longer-term bonds</t>
  </si>
  <si>
    <t>Corporate Bonds</t>
  </si>
  <si>
    <t>Less secure than government bonds</t>
  </si>
  <si>
    <t>Equity</t>
  </si>
  <si>
    <t>Equities can generally be held in perpetuity</t>
  </si>
  <si>
    <t>Less marketable than government bonds, less liquid</t>
  </si>
  <si>
    <t>Property</t>
  </si>
  <si>
    <t>Expected return higher than that on index-linked government bonds</t>
  </si>
  <si>
    <t>Product</t>
  </si>
  <si>
    <t>Needs met</t>
  </si>
  <si>
    <t>Term assurance - level</t>
  </si>
  <si>
    <t>Term assurance - decreasing</t>
  </si>
  <si>
    <t>Term assurance - renewable and convertible</t>
  </si>
  <si>
    <t>Pure endowment assurance</t>
  </si>
  <si>
    <t>Endowment assurance</t>
  </si>
  <si>
    <t>Whole of life assurance</t>
  </si>
  <si>
    <t>Income protection cover</t>
  </si>
  <si>
    <t>Critical illness cover</t>
  </si>
  <si>
    <t>Investment bond</t>
  </si>
  <si>
    <t>Income drawdown</t>
  </si>
  <si>
    <t>Immediate annuities</t>
  </si>
  <si>
    <t>Deferred annuities</t>
  </si>
  <si>
    <t>Long-term care cover</t>
  </si>
  <si>
    <r>
      <rPr>
        <b/>
        <sz val="12"/>
        <color theme="1"/>
        <rFont val="Calibri"/>
        <family val="2"/>
        <scheme val="minor"/>
      </rPr>
      <t>Protection</t>
    </r>
    <r>
      <rPr>
        <sz val="12"/>
        <color theme="1"/>
        <rFont val="Calibri"/>
        <family val="2"/>
        <scheme val="minor"/>
      </rPr>
      <t xml:space="preserve"> for dependendants on death</t>
    </r>
  </si>
  <si>
    <t>Loan repayments
Family income benefit</t>
  </si>
  <si>
    <t>Cheap life cover with option to renew or convert into permanent cover without further u/w</t>
  </si>
  <si>
    <t>Loan repayment on survival
Savings</t>
  </si>
  <si>
    <t>Loan repayment on death /  survival
Savings</t>
  </si>
  <si>
    <t xml:space="preserve">Protection for dependants on death
Funeral costs
Wealth transfer
Inheritance tax planning
</t>
  </si>
  <si>
    <r>
      <rPr>
        <b/>
        <sz val="12"/>
        <color theme="1"/>
        <rFont val="Calibri"/>
        <family val="2"/>
        <scheme val="minor"/>
      </rPr>
      <t xml:space="preserve">Protection </t>
    </r>
    <r>
      <rPr>
        <sz val="12"/>
        <color theme="1"/>
        <rFont val="Calibri"/>
        <family val="2"/>
        <scheme val="minor"/>
      </rPr>
      <t>for dependants
Medical treatment
Lifestyle enhancement</t>
    </r>
  </si>
  <si>
    <t>Nursing home or home care in old age</t>
  </si>
  <si>
    <t>Income in retirement
School fees / college tuition</t>
  </si>
  <si>
    <t>Retirement savings</t>
  </si>
  <si>
    <t>Retirement provision</t>
  </si>
  <si>
    <t>Longer-term flexible investment with life cover</t>
  </si>
  <si>
    <t xml:space="preserve">Key person cover </t>
  </si>
  <si>
    <t>Govemment Bonds</t>
  </si>
  <si>
    <t>S — Security</t>
  </si>
  <si>
    <t>Very good security (in politically stable countries</t>
  </si>
  <si>
    <t>Provides a long-term real yield (i,e, the return tends to move in line with inflation</t>
  </si>
  <si>
    <t>Higher expected returns than government bonds over the long term</t>
  </si>
  <si>
    <t>S — Spread</t>
  </si>
  <si>
    <t>Income (dividends) and capital values (prices) can be volatile</t>
  </si>
  <si>
    <t>T — Term</t>
  </si>
  <si>
    <t>Generally, can be held in perpetuity, but with risk of obsolescence and deterioration</t>
  </si>
  <si>
    <t>E — Exchange rate</t>
  </si>
  <si>
    <t>Unmarketable — due to being large unit size, indivisibility, uniqueness</t>
  </si>
  <si>
    <t>Return normally taxed as income</t>
  </si>
  <si>
    <t>Y — Yield (norm vs real)</t>
  </si>
  <si>
    <t>M Marketability</t>
  </si>
  <si>
    <t>Unemployment insurance</t>
  </si>
  <si>
    <t>Type</t>
  </si>
  <si>
    <t>Cover</t>
  </si>
  <si>
    <t>Perils Covered</t>
  </si>
  <si>
    <t>Accidents caused by employer's negligence
Exposure to harmful substances
Exposure to harmful working conditions</t>
  </si>
  <si>
    <t>Motor accidents caused by the insured</t>
  </si>
  <si>
    <t>Depends on type of policy --&gt; e.g., objects fallng, dog bite</t>
  </si>
  <si>
    <t>Faulty product design
Faulty manufacturing and packaging
Misleading or incorrect instructions</t>
  </si>
  <si>
    <t>Fire and the damage caused by measures to put out the fire
Fire, explosion, floods, …</t>
  </si>
  <si>
    <t>Bad debts
Third party failure</t>
  </si>
  <si>
    <t>Accidents resulting in loss of limbs or other specified injury</t>
  </si>
  <si>
    <t>Need for treatment in a hospital</t>
  </si>
  <si>
    <t>Redundancy</t>
  </si>
  <si>
    <r>
      <t>Normally good security (</t>
    </r>
    <r>
      <rPr>
        <i/>
        <sz val="12"/>
        <color theme="1"/>
        <rFont val="Calibri"/>
        <family val="2"/>
        <scheme val="minor"/>
      </rPr>
      <t>low default risk</t>
    </r>
    <r>
      <rPr>
        <sz val="12"/>
        <color theme="1"/>
        <rFont val="Calibri"/>
        <family val="2"/>
        <scheme val="minor"/>
      </rPr>
      <t xml:space="preserve">) as term is very short, </t>
    </r>
    <r>
      <rPr>
        <b/>
        <sz val="12"/>
        <color theme="1"/>
        <rFont val="Calibri"/>
        <family val="2"/>
        <scheme val="minor"/>
      </rPr>
      <t>but will depend on the borrower</t>
    </r>
  </si>
  <si>
    <r>
      <t xml:space="preserve">All return is through income </t>
    </r>
    <r>
      <rPr>
        <b/>
        <i/>
        <sz val="12"/>
        <color theme="1"/>
        <rFont val="Calibri"/>
        <family val="2"/>
        <scheme val="minor"/>
      </rPr>
      <t>or capital gain considered as income</t>
    </r>
    <r>
      <rPr>
        <sz val="12"/>
        <color theme="1"/>
        <rFont val="Calibri"/>
        <family val="2"/>
        <scheme val="minor"/>
      </rPr>
      <t xml:space="preserve">
Level of income has a loose, indirect relationship with inflation</t>
    </r>
  </si>
  <si>
    <t>Normally highly marketable
Liquid</t>
  </si>
  <si>
    <r>
      <t xml:space="preserve">Higher expected return compared to gov bonds --&gt; </t>
    </r>
    <r>
      <rPr>
        <b/>
        <i/>
        <sz val="12"/>
        <color theme="1"/>
        <rFont val="Calibri"/>
        <family val="2"/>
        <scheme val="minor"/>
      </rPr>
      <t>less secure and lower marketability vs. govt bonds</t>
    </r>
  </si>
  <si>
    <t>Mixture of terms: short, medium, long, and undated</t>
  </si>
  <si>
    <r>
      <t xml:space="preserve">Low dealing expenses. </t>
    </r>
    <r>
      <rPr>
        <b/>
        <i/>
        <sz val="12"/>
        <color theme="1"/>
        <rFont val="Calibri"/>
        <family val="2"/>
        <scheme val="minor"/>
      </rPr>
      <t>Higher than dealing expenses for govt. bonds as marketability is low (supply is also limited)</t>
    </r>
  </si>
  <si>
    <t>Income</t>
  </si>
  <si>
    <t>Capital</t>
  </si>
  <si>
    <t>Tax treatment depends on the territory</t>
  </si>
  <si>
    <t>Income = Coupons fixed in nominal terms, payable semi-annually in most cases</t>
  </si>
  <si>
    <t>Capital = redemeption payment fixed in nominal terms
Usually payable at par</t>
  </si>
  <si>
    <t>LOW dealing expenses if a developed country</t>
  </si>
  <si>
    <t>Highly marketable, very liquid -&gt; if a developed country</t>
  </si>
  <si>
    <r>
      <t xml:space="preserve">Yield (Gross redemption yield) is fixed in nominal terms)
</t>
    </r>
    <r>
      <rPr>
        <b/>
        <i/>
        <sz val="12"/>
        <color theme="1"/>
        <rFont val="Calibri"/>
        <family val="2"/>
        <scheme val="minor"/>
      </rPr>
      <t>Real return eroded by inflation</t>
    </r>
  </si>
  <si>
    <t>Stepped income stream - rent reviews are infrequent
High utility / feel good factor to the investor</t>
  </si>
  <si>
    <r>
      <t xml:space="preserve">High dealing and management costs
</t>
    </r>
    <r>
      <rPr>
        <b/>
        <i/>
        <sz val="12"/>
        <color theme="1"/>
        <rFont val="Calibri"/>
        <family val="2"/>
        <scheme val="minor"/>
      </rPr>
      <t>Obsolescence, deterioration, and refurbishment costs</t>
    </r>
  </si>
  <si>
    <r>
      <t xml:space="preserve">Possibility for investment characteristics to be changed by the investor - e.g., </t>
    </r>
    <r>
      <rPr>
        <b/>
        <i/>
        <sz val="12"/>
        <color rgb="FFFF0000"/>
        <rFont val="Calibri"/>
        <family val="2"/>
        <scheme val="minor"/>
      </rPr>
      <t>redevelopment</t>
    </r>
  </si>
  <si>
    <r>
      <t xml:space="preserve">Rental income taxed as income
And capital gain taxed differently from rental income
</t>
    </r>
    <r>
      <rPr>
        <b/>
        <i/>
        <sz val="12"/>
        <color theme="1"/>
        <rFont val="Calibri"/>
        <family val="2"/>
        <scheme val="minor"/>
      </rPr>
      <t>Depends on tax code</t>
    </r>
  </si>
  <si>
    <t>Income = dividends = share in company profits (after debtholders and preference shareholders)</t>
  </si>
  <si>
    <t>Capital = amount invested (plus dividends reinvested)
Capital gains can arise on sale of shares</t>
  </si>
  <si>
    <r>
      <t xml:space="preserve">Security Depends on the profitability of the company and </t>
    </r>
    <r>
      <rPr>
        <b/>
        <i/>
        <sz val="12"/>
        <color theme="1"/>
        <rFont val="Calibri"/>
        <family val="2"/>
        <scheme val="minor"/>
      </rPr>
      <t>security of the issuing company</t>
    </r>
    <r>
      <rPr>
        <sz val="12"/>
        <color theme="1"/>
        <rFont val="Calibri"/>
        <family val="2"/>
        <scheme val="minor"/>
      </rPr>
      <t xml:space="preserve">
Security depends on </t>
    </r>
    <r>
      <rPr>
        <b/>
        <sz val="12"/>
        <color rgb="FFFF0000"/>
        <rFont val="Calibri (Body)"/>
      </rPr>
      <t>NAV, level of gearing, and risk profile of issuing company</t>
    </r>
  </si>
  <si>
    <t>Dealing expenses are linked to marketability
Dealing costs higher than on conventional bonds</t>
  </si>
  <si>
    <r>
      <t>Marketability depends on the size of the company (</t>
    </r>
    <r>
      <rPr>
        <b/>
        <i/>
        <sz val="12"/>
        <color theme="1"/>
        <rFont val="Calibri"/>
        <family val="2"/>
        <scheme val="minor"/>
      </rPr>
      <t>and hence the number of shares in issue</t>
    </r>
    <r>
      <rPr>
        <sz val="12"/>
        <color theme="1"/>
        <rFont val="Calibri"/>
        <family val="2"/>
        <scheme val="minor"/>
      </rPr>
      <t xml:space="preserve">)
Liquidity also depends on the size of the company - </t>
    </r>
    <r>
      <rPr>
        <b/>
        <i/>
        <sz val="12"/>
        <color theme="1"/>
        <rFont val="Calibri"/>
        <family val="2"/>
        <scheme val="minor"/>
      </rPr>
      <t>and whether equity is quoted or unqouted</t>
    </r>
    <r>
      <rPr>
        <sz val="12"/>
        <color theme="1"/>
        <rFont val="Calibri"/>
        <family val="2"/>
        <scheme val="minor"/>
      </rPr>
      <t xml:space="preserve">
</t>
    </r>
    <r>
      <rPr>
        <b/>
        <sz val="12"/>
        <color rgb="FFFF0000"/>
        <rFont val="Calibri (Body)"/>
      </rPr>
      <t>Marketability worse vs. government bonds</t>
    </r>
  </si>
  <si>
    <t>Risk of voids and tenant default
Risk of political interference
Risk of obsolescence and need for refurbishment</t>
  </si>
  <si>
    <r>
      <t xml:space="preserve">Long-term real returns (i.e. move in line with inflation) -&gt; </t>
    </r>
    <r>
      <rPr>
        <b/>
        <i/>
        <sz val="12"/>
        <color theme="1"/>
        <rFont val="Calibri"/>
        <family val="2"/>
        <scheme val="minor"/>
      </rPr>
      <t>broad inflation hedge</t>
    </r>
    <r>
      <rPr>
        <sz val="12"/>
        <color theme="1"/>
        <rFont val="Calibri"/>
        <family val="2"/>
        <scheme val="minor"/>
      </rPr>
      <t xml:space="preserve">
</t>
    </r>
    <r>
      <rPr>
        <b/>
        <sz val="12"/>
        <color theme="1"/>
        <rFont val="Calibri"/>
        <family val="2"/>
        <scheme val="minor"/>
      </rPr>
      <t>Running yield (rental yield) varies with type of property</t>
    </r>
  </si>
  <si>
    <r>
      <t xml:space="preserve">Long-term volatility of capital values but short-term stability due to infrequent valuations
</t>
    </r>
    <r>
      <rPr>
        <b/>
        <sz val="12"/>
        <color rgb="FFFF0000"/>
        <rFont val="Calibri (Body)"/>
      </rPr>
      <t>Valuations can be subjective and lack of information around the valuations</t>
    </r>
  </si>
  <si>
    <t>Conventional bonds</t>
  </si>
  <si>
    <t>Index-linked bonds</t>
  </si>
  <si>
    <t>Equities</t>
  </si>
  <si>
    <t>Commercial Property</t>
  </si>
  <si>
    <t>Residential Property</t>
  </si>
  <si>
    <t>Expected return</t>
  </si>
  <si>
    <t>E = GRY (nominal or real)</t>
  </si>
  <si>
    <t>E = dividend yield + expected nominal dividend growth</t>
  </si>
  <si>
    <t>E = Short-term nominal interest rates</t>
  </si>
  <si>
    <t>E = rental yield + expected nominal rental  growth</t>
  </si>
  <si>
    <t>E = GRY (nominal or real) + risk premium (default, marketability, liquidity)</t>
  </si>
  <si>
    <t>Premium</t>
  </si>
  <si>
    <t>PV Premium</t>
  </si>
  <si>
    <t>Benefit</t>
  </si>
  <si>
    <t>PV Benefit</t>
  </si>
  <si>
    <t>Reserve</t>
  </si>
  <si>
    <t>Interest rates</t>
  </si>
  <si>
    <t>Probability</t>
  </si>
  <si>
    <t>Simulation</t>
  </si>
  <si>
    <r>
      <t xml:space="preserve">Financial loss insurance
</t>
    </r>
    <r>
      <rPr>
        <sz val="12"/>
        <color rgb="FF0070C0"/>
        <rFont val="Calibri (Body)"/>
      </rPr>
      <t xml:space="preserve">The benefit provided by financial loss insurance is indemnity against financial losses arising from a peril covered by the policy. </t>
    </r>
    <r>
      <rPr>
        <b/>
        <sz val="12"/>
        <color rgb="FF0070C0"/>
        <rFont val="Calibri (Body)"/>
      </rPr>
      <t>Excess payable and max level of cover</t>
    </r>
  </si>
  <si>
    <r>
      <t>Propery damage insurance</t>
    </r>
    <r>
      <rPr>
        <sz val="12"/>
        <color theme="1"/>
        <rFont val="Calibri"/>
        <family val="2"/>
        <scheme val="minor"/>
      </rPr>
      <t xml:space="preserve">
</t>
    </r>
    <r>
      <rPr>
        <sz val="12"/>
        <color rgb="FF0070C0"/>
        <rFont val="Calibri (Body)"/>
      </rPr>
      <t>The main characteristic of property damage insurance is to indemnify the insured against loss of, or damage to, their own material property.</t>
    </r>
    <r>
      <rPr>
        <b/>
        <sz val="12"/>
        <color theme="1"/>
        <rFont val="Calibri"/>
        <family val="2"/>
        <scheme val="minor"/>
      </rPr>
      <t xml:space="preserve"> 
</t>
    </r>
    <r>
      <rPr>
        <b/>
        <sz val="12"/>
        <color rgb="FF0070C0"/>
        <rFont val="Calibri (Body)"/>
      </rPr>
      <t>Excess payable or max level of cover</t>
    </r>
    <r>
      <rPr>
        <sz val="12"/>
        <color theme="1"/>
        <rFont val="Calibri"/>
        <family val="2"/>
        <scheme val="minor"/>
      </rPr>
      <t xml:space="preserve">
</t>
    </r>
    <r>
      <rPr>
        <b/>
        <sz val="12"/>
        <color rgb="FFFF0000"/>
        <rFont val="Calibri (Body)"/>
      </rPr>
      <t>Household --&gt; new for old basis</t>
    </r>
  </si>
  <si>
    <r>
      <t xml:space="preserve">Liability insurance
</t>
    </r>
    <r>
      <rPr>
        <sz val="12"/>
        <color theme="1"/>
        <rFont val="Calibri"/>
        <family val="2"/>
        <scheme val="minor"/>
      </rPr>
      <t xml:space="preserve">Liability insurance provides indemnity where the insured, owing to some form of negligence, is legally liable to pay compensation to a third party.
</t>
    </r>
    <r>
      <rPr>
        <b/>
        <sz val="12"/>
        <color theme="4"/>
        <rFont val="Calibri (Body)"/>
      </rPr>
      <t>Excess payable or max level of cover</t>
    </r>
  </si>
  <si>
    <r>
      <t>Fixed benefits insurance</t>
    </r>
    <r>
      <rPr>
        <sz val="12"/>
        <color theme="1"/>
        <rFont val="Calibri"/>
        <family val="2"/>
        <scheme val="minor"/>
      </rPr>
      <t xml:space="preserve">
</t>
    </r>
    <r>
      <rPr>
        <sz val="12"/>
        <color theme="4"/>
        <rFont val="Calibri (Body)"/>
      </rPr>
      <t xml:space="preserve">Fixed benefits insurance does not operate on an indemnity basis. </t>
    </r>
  </si>
  <si>
    <t>Key features</t>
  </si>
  <si>
    <t>Often long term</t>
  </si>
  <si>
    <t>Typically one claim</t>
  </si>
  <si>
    <t>Claim amount / sum assured may be known with certainty</t>
  </si>
  <si>
    <t>Used for Protectiion against the financial impact od death or ill health and for savings</t>
  </si>
  <si>
    <t>May be sold to individuals or on a group basis</t>
  </si>
  <si>
    <t>Investment type</t>
  </si>
  <si>
    <t>Without-profit</t>
  </si>
  <si>
    <t>Index-linked</t>
  </si>
  <si>
    <t>Unit-linked</t>
  </si>
  <si>
    <t>With-profit</t>
  </si>
  <si>
    <t>Assumptions</t>
  </si>
  <si>
    <t>Premium rates per policy</t>
  </si>
  <si>
    <t>Sales volumes and mix of business</t>
  </si>
  <si>
    <t>Investment returns - e.g., bond yields, dividend yields and growth</t>
  </si>
  <si>
    <t>Expense levels</t>
  </si>
  <si>
    <t>Expense inflation</t>
  </si>
  <si>
    <t>Commission rates</t>
  </si>
  <si>
    <t>Mortality rates</t>
  </si>
  <si>
    <t>Morbidity rates</t>
  </si>
  <si>
    <t>Withdrawal rates</t>
  </si>
  <si>
    <t>Risk discount rates</t>
  </si>
  <si>
    <t>Solvency capital requirements</t>
  </si>
  <si>
    <t>tax rates</t>
  </si>
  <si>
    <t>Reinsurance premiums and reinsurance recoveries</t>
  </si>
  <si>
    <t>Investment strategy</t>
  </si>
  <si>
    <t>Fixed interest bonds --&gt; guaranteed in money terms</t>
  </si>
  <si>
    <t>Real assets (e.g., ILBs, equity, property) --&gt; inflation-linked benefits</t>
  </si>
  <si>
    <t>Equity &amp; property --&gt; maximise returns</t>
  </si>
  <si>
    <t>Assets to match the term of liabilities (medium to long term)</t>
  </si>
  <si>
    <t>Shorter-term assets to meet short-term commitments</t>
  </si>
  <si>
    <t>Assets mainly denominated in domestic currency</t>
  </si>
  <si>
    <t>Some derivatives to hedge guarantees and options</t>
  </si>
  <si>
    <r>
      <t xml:space="preserve">Constraints:
</t>
    </r>
    <r>
      <rPr>
        <sz val="12"/>
        <color theme="1"/>
        <rFont val="Calibri"/>
        <family val="2"/>
        <scheme val="minor"/>
      </rPr>
      <t>Regulation
Size of free assets
Need to be tax efficient</t>
    </r>
  </si>
  <si>
    <t>Key risks</t>
  </si>
  <si>
    <t>Mortality, longevity, and morbidity</t>
  </si>
  <si>
    <t>Investment risks</t>
  </si>
  <si>
    <t>Expenses - not met by premium loadings or charges</t>
  </si>
  <si>
    <t>Early withdrawals - before initial expenses have been recouped</t>
  </si>
  <si>
    <t>NB volumes too high - hence NBS
NB volumes too low - hence not enough to spread overheads</t>
  </si>
  <si>
    <t>Credit risk - e.g., failure of reinsurer or broker</t>
  </si>
  <si>
    <t>Operational risk - e.g., fraud, system failure, regulatory change</t>
  </si>
  <si>
    <t>Items to monitor</t>
  </si>
  <si>
    <t>Claim rates - mortality rates (plus improvement rates), morbidity rates</t>
  </si>
  <si>
    <t>Reinsurance premiums and recoveries</t>
  </si>
  <si>
    <t>Competitors' premium rates</t>
  </si>
  <si>
    <t>Investment returns</t>
  </si>
  <si>
    <t>Expenses</t>
  </si>
  <si>
    <t>Sales volumes and mix</t>
  </si>
  <si>
    <t>Monitor experience: incorrect assumptions corrected asap to not continue writing business on unprofitable terms</t>
  </si>
  <si>
    <t>Group version</t>
  </si>
  <si>
    <t>Death-in-service benefits
Credit-card company
Supplier of goods</t>
  </si>
  <si>
    <t>Credit-card company
Supplier of goods</t>
  </si>
  <si>
    <r>
      <t>Option to convert to individual policy after leaving group life scheme (</t>
    </r>
    <r>
      <rPr>
        <b/>
        <i/>
        <sz val="12"/>
        <color theme="1"/>
        <rFont val="Calibri"/>
        <family val="2"/>
        <scheme val="minor"/>
      </rPr>
      <t>continuation option</t>
    </r>
    <r>
      <rPr>
        <sz val="12"/>
        <color theme="1"/>
        <rFont val="Calibri"/>
        <family val="2"/>
        <scheme val="minor"/>
      </rPr>
      <t>)</t>
    </r>
  </si>
  <si>
    <t>Pensions for employees at or after retirement</t>
  </si>
  <si>
    <t>Employer to fund pensions for employes
Employer closes occupational scheme to buy pension with an insurer</t>
  </si>
  <si>
    <r>
      <t>Income when off work due to sickness / accident
(</t>
    </r>
    <r>
      <rPr>
        <b/>
        <i/>
        <sz val="12"/>
        <color theme="1"/>
        <rFont val="Calibri"/>
        <family val="2"/>
        <scheme val="minor"/>
      </rPr>
      <t>incapacity due to accident or illness</t>
    </r>
    <r>
      <rPr>
        <sz val="12"/>
        <color theme="1"/>
        <rFont val="Calibri"/>
        <family val="2"/>
        <scheme val="minor"/>
      </rPr>
      <t>)</t>
    </r>
  </si>
  <si>
    <t>Employer to provide sick pay scheme for employees</t>
  </si>
  <si>
    <t>Employer provide financial security for employees in event of contracting key illness</t>
  </si>
  <si>
    <r>
      <t>Purchased by company for its benefit - covering key employees only (</t>
    </r>
    <r>
      <rPr>
        <b/>
        <sz val="12"/>
        <color theme="1"/>
        <rFont val="Calibri"/>
        <family val="2"/>
        <scheme val="minor"/>
      </rPr>
      <t>does not cover many employees</t>
    </r>
    <r>
      <rPr>
        <sz val="12"/>
        <color theme="1"/>
        <rFont val="Calibri"/>
        <family val="2"/>
        <scheme val="minor"/>
      </rPr>
      <t>)</t>
    </r>
  </si>
  <si>
    <r>
      <t>Loss of or replacement of key business person
(</t>
    </r>
    <r>
      <rPr>
        <b/>
        <sz val="12"/>
        <color theme="1"/>
        <rFont val="Calibri"/>
        <family val="2"/>
        <scheme val="minor"/>
      </rPr>
      <t>Buy out from partnership, cover loss of profits from loss of keyperson, meet costs of finding a replacement</t>
    </r>
    <r>
      <rPr>
        <sz val="12"/>
        <color theme="1"/>
        <rFont val="Calibri"/>
        <family val="2"/>
        <scheme val="minor"/>
      </rPr>
      <t>)</t>
    </r>
  </si>
  <si>
    <t>Employer provide long-term care cover to employees (plus spouses and parents)</t>
  </si>
  <si>
    <t>Group endowment assurance - employer provide benefits at retirement, or death-in-service for employees</t>
  </si>
  <si>
    <t>No group version - employer wants to restrict to employment period</t>
  </si>
  <si>
    <r>
      <rPr>
        <b/>
        <sz val="12"/>
        <color theme="1"/>
        <rFont val="Calibri"/>
        <family val="2"/>
        <scheme val="minor"/>
      </rPr>
      <t>Short-term</t>
    </r>
    <r>
      <rPr>
        <sz val="12"/>
        <color theme="1"/>
        <rFont val="Calibri"/>
        <family val="2"/>
        <scheme val="minor"/>
      </rPr>
      <t xml:space="preserve">: claim amounts unknown &amp; volatile
</t>
    </r>
    <r>
      <rPr>
        <b/>
        <sz val="12"/>
        <color theme="1"/>
        <rFont val="Calibri"/>
        <family val="2"/>
        <scheme val="minor"/>
      </rPr>
      <t>Long-term</t>
    </r>
    <r>
      <rPr>
        <sz val="12"/>
        <color theme="1"/>
        <rFont val="Calibri"/>
        <family val="2"/>
        <scheme val="minor"/>
      </rPr>
      <t>: fixed sum insured</t>
    </r>
  </si>
  <si>
    <r>
      <rPr>
        <b/>
        <sz val="12"/>
        <color theme="1"/>
        <rFont val="Calibri"/>
        <family val="2"/>
        <scheme val="minor"/>
      </rPr>
      <t>Short-term</t>
    </r>
    <r>
      <rPr>
        <sz val="12"/>
        <color theme="1"/>
        <rFont val="Calibri"/>
        <family val="2"/>
        <scheme val="minor"/>
      </rPr>
      <t xml:space="preserve">: multiple claims
</t>
    </r>
    <r>
      <rPr>
        <b/>
        <sz val="12"/>
        <color theme="1"/>
        <rFont val="Calibri"/>
        <family val="2"/>
        <scheme val="minor"/>
      </rPr>
      <t>Long-term:</t>
    </r>
    <r>
      <rPr>
        <sz val="12"/>
        <color theme="1"/>
        <rFont val="Calibri"/>
        <family val="2"/>
        <scheme val="minor"/>
      </rPr>
      <t xml:space="preserve"> cover ceases on claim</t>
    </r>
  </si>
  <si>
    <r>
      <rPr>
        <b/>
        <sz val="12"/>
        <color theme="1"/>
        <rFont val="Calibri"/>
        <family val="2"/>
        <scheme val="minor"/>
      </rPr>
      <t>Short-term</t>
    </r>
    <r>
      <rPr>
        <sz val="12"/>
        <color theme="1"/>
        <rFont val="Calibri"/>
        <family val="2"/>
        <scheme val="minor"/>
      </rPr>
      <t>: single year, renewable
Or long-term cover</t>
    </r>
  </si>
  <si>
    <r>
      <t>Short-term</t>
    </r>
    <r>
      <rPr>
        <sz val="12"/>
        <color theme="1"/>
        <rFont val="Calibri"/>
        <family val="2"/>
        <scheme val="minor"/>
      </rPr>
      <t>: delays in reporting and settling claims</t>
    </r>
  </si>
  <si>
    <r>
      <t xml:space="preserve">Protection: ill-health or death and savings
</t>
    </r>
    <r>
      <rPr>
        <b/>
        <sz val="12"/>
        <color theme="1"/>
        <rFont val="Calibri"/>
        <family val="2"/>
        <scheme val="minor"/>
      </rPr>
      <t>Group version: 1-2 years, renewable</t>
    </r>
  </si>
  <si>
    <t>Underwriting</t>
  </si>
  <si>
    <r>
      <rPr>
        <b/>
        <sz val="12"/>
        <color theme="1"/>
        <rFont val="Calibri"/>
        <family val="2"/>
        <scheme val="minor"/>
      </rPr>
      <t>Full medical u/w</t>
    </r>
    <r>
      <rPr>
        <sz val="12"/>
        <color theme="1"/>
        <rFont val="Calibri"/>
        <family val="2"/>
        <scheme val="minor"/>
      </rPr>
      <t xml:space="preserve">: pre-exisiting conditions excluded </t>
    </r>
  </si>
  <si>
    <r>
      <rPr>
        <b/>
        <sz val="12"/>
        <color theme="1"/>
        <rFont val="Calibri"/>
        <family val="2"/>
        <scheme val="minor"/>
      </rPr>
      <t>Moratorium u/w</t>
    </r>
    <r>
      <rPr>
        <sz val="12"/>
        <color theme="1"/>
        <rFont val="Calibri"/>
        <family val="2"/>
        <scheme val="minor"/>
      </rPr>
      <t>: exclude some past conditions</t>
    </r>
  </si>
  <si>
    <r>
      <t>Medical History Disregard (MHD)</t>
    </r>
    <r>
      <rPr>
        <sz val="12"/>
        <color theme="1"/>
        <rFont val="Calibri"/>
        <family val="2"/>
        <scheme val="minor"/>
      </rPr>
      <t>: no exclusions (</t>
    </r>
    <r>
      <rPr>
        <b/>
        <sz val="12"/>
        <color theme="1"/>
        <rFont val="Calibri"/>
        <family val="2"/>
        <scheme val="minor"/>
      </rPr>
      <t>Group versions</t>
    </r>
    <r>
      <rPr>
        <sz val="12"/>
        <color theme="1"/>
        <rFont val="Calibri"/>
        <family val="2"/>
        <scheme val="minor"/>
      </rPr>
      <t>)</t>
    </r>
  </si>
  <si>
    <r>
      <t>No worse terms</t>
    </r>
    <r>
      <rPr>
        <sz val="12"/>
        <color theme="1"/>
        <rFont val="Calibri"/>
        <family val="2"/>
        <scheme val="minor"/>
      </rPr>
      <t>: comprehensive as current cover</t>
    </r>
  </si>
  <si>
    <r>
      <t>Continued Personal Medical Exclusion (CPME)</t>
    </r>
    <r>
      <rPr>
        <sz val="12"/>
        <color theme="1"/>
        <rFont val="Calibri"/>
        <family val="2"/>
        <scheme val="minor"/>
      </rPr>
      <t>: same cover as previous contract</t>
    </r>
  </si>
  <si>
    <t>Private Medical Insurance (PMI)</t>
  </si>
  <si>
    <t>Sum assured on diagnosis of critical illness</t>
  </si>
  <si>
    <t>Long-term care (LTC)</t>
  </si>
  <si>
    <t>Custodial care - p/h has diminished capacity (ADLs)</t>
  </si>
  <si>
    <t>Cash amount - on occurrence of health event</t>
  </si>
  <si>
    <t>Pricing</t>
  </si>
  <si>
    <t>Mutuality</t>
  </si>
  <si>
    <t>Solidarity</t>
  </si>
  <si>
    <t>Community rating</t>
  </si>
  <si>
    <t>Definitionn</t>
  </si>
  <si>
    <r>
      <t xml:space="preserve">Traditional insurance
P/h pays premiums into pooled fund
Premium depends on risk presented by p/h at time of application
Claims paid out of the pooled fund
</t>
    </r>
    <r>
      <rPr>
        <b/>
        <i/>
        <sz val="12"/>
        <color theme="1"/>
        <rFont val="Calibri"/>
        <family val="2"/>
        <scheme val="minor"/>
      </rPr>
      <t xml:space="preserve">high-risk lives can't afford cover - social implications
pool not sensitive to entering and leaving </t>
    </r>
  </si>
  <si>
    <r>
      <t xml:space="preserve">Premiums based on ability to pay, </t>
    </r>
    <r>
      <rPr>
        <b/>
        <sz val="12"/>
        <color theme="1"/>
        <rFont val="Calibri"/>
        <family val="2"/>
        <scheme val="minor"/>
      </rPr>
      <t>or set equally</t>
    </r>
    <r>
      <rPr>
        <sz val="12"/>
        <color theme="1"/>
        <rFont val="Calibri"/>
        <family val="2"/>
        <scheme val="minor"/>
      </rPr>
      <t xml:space="preserve">
Losses paid according to need
</t>
    </r>
    <r>
      <rPr>
        <b/>
        <sz val="12"/>
        <color theme="1"/>
        <rFont val="Calibri"/>
        <family val="2"/>
        <scheme val="minor"/>
      </rPr>
      <t xml:space="preserve">SA Open Medical Schemes
</t>
    </r>
    <r>
      <rPr>
        <sz val="12"/>
        <color theme="1"/>
        <rFont val="Calibri"/>
        <family val="2"/>
        <scheme val="minor"/>
      </rPr>
      <t>Everyone offered standard contribution rates
Minimum benefit package prescribed under legislation</t>
    </r>
  </si>
  <si>
    <t>Domestic currency mainly
Import of drugs and medical equipment --&gt; exposure to foreign currencies</t>
  </si>
  <si>
    <t>Liabilties guaranteed in money terms</t>
  </si>
  <si>
    <r>
      <t xml:space="preserve">Some liabilties on an </t>
    </r>
    <r>
      <rPr>
        <b/>
        <sz val="12"/>
        <color theme="1"/>
        <rFont val="Calibri"/>
        <family val="2"/>
        <scheme val="minor"/>
      </rPr>
      <t>indemnity basis</t>
    </r>
  </si>
  <si>
    <t>Claim frequency, benefit amount, volatility and settlement delays</t>
  </si>
  <si>
    <t>Accumulations of risk, catastrophes, and large number of large claims</t>
  </si>
  <si>
    <t>Investment risks - e.g., poor returns, fall in asset values, default risk</t>
  </si>
  <si>
    <t>Expenses higher than expected</t>
  </si>
  <si>
    <r>
      <t xml:space="preserve">Poor persistency - </t>
    </r>
    <r>
      <rPr>
        <b/>
        <sz val="12"/>
        <color theme="1"/>
        <rFont val="Calibri"/>
        <family val="2"/>
        <scheme val="minor"/>
      </rPr>
      <t>e.g., high lapses and low renewals</t>
    </r>
  </si>
  <si>
    <t>Poor plan mix - upgrades, downgrades, and anti-selection</t>
  </si>
  <si>
    <t>Underwriting risk - i.e., failure to properly disclose pre-existing conditions</t>
  </si>
  <si>
    <t>Credit risk - i.e., failure of healthcare provider, reinsurer, broker</t>
  </si>
  <si>
    <t>Operational risks - e.g., regulatory risks (NHI)</t>
  </si>
  <si>
    <t>Availability of claims data</t>
  </si>
  <si>
    <t>Reimbursement mechanisms</t>
  </si>
  <si>
    <r>
      <t>Fee-for-service</t>
    </r>
    <r>
      <rPr>
        <sz val="12"/>
        <color theme="1"/>
        <rFont val="Calibri"/>
        <family val="2"/>
        <scheme val="minor"/>
      </rPr>
      <t>: no restrictions on cost, providers reimbursed for each service</t>
    </r>
  </si>
  <si>
    <r>
      <t>Negotiated fee-for-service</t>
    </r>
    <r>
      <rPr>
        <sz val="12"/>
        <color theme="1"/>
        <rFont val="Calibri"/>
        <family val="2"/>
        <scheme val="minor"/>
      </rPr>
      <t xml:space="preserve">: tarriff for each service negotiated in advance - </t>
    </r>
    <r>
      <rPr>
        <b/>
        <sz val="12"/>
        <color theme="1"/>
        <rFont val="Calibri"/>
        <family val="2"/>
        <scheme val="minor"/>
      </rPr>
      <t>out-of-pocket payments for p/h</t>
    </r>
  </si>
  <si>
    <r>
      <t>Global fee</t>
    </r>
    <r>
      <rPr>
        <sz val="12"/>
        <color theme="1"/>
        <rFont val="Calibri"/>
        <family val="2"/>
        <scheme val="minor"/>
      </rPr>
      <t>: Fixed tariff per episode of care. Provider assumes risk for level of services required per patient</t>
    </r>
  </si>
  <si>
    <r>
      <t>Capitation</t>
    </r>
    <r>
      <rPr>
        <sz val="12"/>
        <color theme="1"/>
        <rFont val="Calibri"/>
        <family val="2"/>
        <scheme val="minor"/>
      </rPr>
      <t>: fixed amount per p/h with option to use service -regardless of use</t>
    </r>
  </si>
  <si>
    <t>Medical trends</t>
  </si>
  <si>
    <t>Public good characteristics and universal access</t>
  </si>
  <si>
    <t>Information asymmetry, over-supply and demand</t>
  </si>
  <si>
    <t>Information about range and quality of services relative to cost not always clear</t>
  </si>
  <si>
    <t>Rapidly increasing cost of healthcare services</t>
  </si>
  <si>
    <t>Importance of health insurance</t>
  </si>
  <si>
    <t>Medical expenses incurred
Access to healthcare benefits
Indemnity basis</t>
  </si>
  <si>
    <r>
      <t>Employers use to cover several employees (</t>
    </r>
    <r>
      <rPr>
        <b/>
        <sz val="12"/>
        <color theme="1"/>
        <rFont val="Calibri"/>
        <family val="2"/>
        <scheme val="minor"/>
      </rPr>
      <t>lower degree of anti-selection - compulsory basis</t>
    </r>
    <r>
      <rPr>
        <sz val="12"/>
        <color theme="1"/>
        <rFont val="Calibri"/>
        <family val="2"/>
        <scheme val="minor"/>
      </rPr>
      <t>)</t>
    </r>
  </si>
  <si>
    <r>
      <t xml:space="preserve">Other products / Cash benefits
</t>
    </r>
    <r>
      <rPr>
        <sz val="12"/>
        <color rgb="FFFF0000"/>
        <rFont val="Calibri (Body)"/>
      </rPr>
      <t>Major medical expenses - e.g., surgery
Hospital cash plan
Medical shortfall cover / gap cover
Personal accident cover</t>
    </r>
  </si>
  <si>
    <t>Group versions of hospital cash and personal accident and disability products may be specifically designed for employer groups or affinity groups</t>
  </si>
  <si>
    <t>Monitoring the effects of investment mismatching</t>
  </si>
  <si>
    <t>Assessing capital requirements</t>
  </si>
  <si>
    <t>Applications of the ACC</t>
  </si>
  <si>
    <t>Past Questions</t>
  </si>
  <si>
    <t>Asset-liability management - e.g., setting investment strategy</t>
  </si>
  <si>
    <t>Considering insurance and reinsurance options</t>
  </si>
  <si>
    <t>Considering the need for and calculation of provisions</t>
  </si>
  <si>
    <t>Determining the current and future solvency levels</t>
  </si>
  <si>
    <t>Determining premiums / contributions</t>
  </si>
  <si>
    <t>Assumptions setting for contract / scheme design</t>
  </si>
  <si>
    <t>Considering other risk management options</t>
  </si>
  <si>
    <t>Determining the profitability of a contract</t>
  </si>
  <si>
    <t>Benefit design for pension scheme</t>
  </si>
  <si>
    <t>CA1 B: April 2009 - Q7 (ii)</t>
  </si>
  <si>
    <t>Unique questions</t>
  </si>
  <si>
    <t>CA1 B: April 2016 - Q4</t>
  </si>
  <si>
    <t>Pure bookwork / theory</t>
  </si>
  <si>
    <t>A301 A: Nov 2017 - Q9 (ii)
A301 A: April 2018 - Q9 (ii)</t>
  </si>
  <si>
    <t>A301 B: April 2018 - Q4
A311 B: April 2019 - Q1 (ii)</t>
  </si>
  <si>
    <t>A311 B: Oct 2019 - Q8</t>
  </si>
  <si>
    <t>CA1 B: Sept 2012 - Q3
A301 B: June 2016 - Q9 (iii)
A301 A: June 2018 - Q8 (ii)
A311 A: Oct 2021 Q9</t>
  </si>
  <si>
    <t>CA1 A: April 2014 - Q1
A311 A: April 2020 - Q6
A311 B: Oct 2020 - Q8
A311 A: Oct 2022 - Q7</t>
  </si>
  <si>
    <t>Depends on the professions
Wrong medical diagnosis
Error in actuarial report
Error in medical report</t>
  </si>
  <si>
    <t>As per building cover --&gt; theft is major peril</t>
  </si>
  <si>
    <t>Perils of the sea - e.g., tsunami
Fire, explosion, jettison, piracy</t>
  </si>
  <si>
    <t>Dishonest employee actions - e.g., fraud, embezzlement</t>
  </si>
  <si>
    <t>Being unable to conduct business - e.g., due to fire in property</t>
  </si>
  <si>
    <t>Rating factors</t>
  </si>
  <si>
    <t>Payroll
# employees
Type of industry
Exposure to hazardous chemicals / products / processes
Past claims experience
Location
Size of excess</t>
  </si>
  <si>
    <t>Sum assured
Number of rooms / bedrooms
Age and gender of policyholder
Owner or tenant
Age of building
Construction of building
Past claims experience</t>
  </si>
  <si>
    <r>
      <t xml:space="preserve">Employer's liability
</t>
    </r>
    <r>
      <rPr>
        <sz val="12"/>
        <color rgb="FFFF0000"/>
        <rFont val="Calibri (Body)"/>
      </rPr>
      <t>Indemnifies the insured against the legal liability to compensate an employee or their estate for accidental bodily injury, disease or death suffered - possibly owing to some form of  negligence of the employer or other employees</t>
    </r>
  </si>
  <si>
    <r>
      <t xml:space="preserve">Public liability
</t>
    </r>
    <r>
      <rPr>
        <sz val="12"/>
        <color rgb="FFFF0000"/>
        <rFont val="Calibri (Body)"/>
      </rPr>
      <t>Indemnifies the insured against the legal liability for the death or bodily injury to a third-party or for damage to properrty belonging to a third-party - other than that covered by other liability insurance</t>
    </r>
  </si>
  <si>
    <r>
      <t xml:space="preserve">Motor third party liability
</t>
    </r>
    <r>
      <rPr>
        <sz val="12"/>
        <color rgb="FFFF0000"/>
        <rFont val="Calibri (Body)"/>
      </rPr>
      <t>Indemnifies the insured against compensation payable to third parties for personal injury or damage to their property</t>
    </r>
  </si>
  <si>
    <r>
      <t xml:space="preserve">Product liability
</t>
    </r>
    <r>
      <rPr>
        <sz val="12"/>
        <color rgb="FFFF0000"/>
        <rFont val="Calibri (Body)"/>
      </rPr>
      <t>Indemnifies the insured against the legal liability for the death of or bodily injury to a third party (e.g., a customer) or for damage to property of a third-party that results from a product fault</t>
    </r>
  </si>
  <si>
    <r>
      <t xml:space="preserve">Professional indemnity
</t>
    </r>
    <r>
      <rPr>
        <sz val="12"/>
        <color rgb="FFFF0000"/>
        <rFont val="Calibri (Body)"/>
      </rPr>
      <t>Indemnifies the insured against the legal liability resulting from negligence in the provision of services by professionals in the company</t>
    </r>
  </si>
  <si>
    <r>
      <t xml:space="preserve">Contents cover
</t>
    </r>
    <r>
      <rPr>
        <sz val="12"/>
        <color rgb="FFFF0000"/>
        <rFont val="Calibri (Body)"/>
      </rPr>
      <t>Indemnifies the insured against the value of loss or damage to the contents, subject to any limits or excesses, resulting from - e.g., theft, accident, fire, flood</t>
    </r>
  </si>
  <si>
    <r>
      <t xml:space="preserve">Building cover
</t>
    </r>
    <r>
      <rPr>
        <sz val="12"/>
        <color rgb="FFFF0000"/>
        <rFont val="Calibri (Body)"/>
      </rPr>
      <t>Indemnifies the insured against the value of loss or damage to the buildings, subject to any limits or excesses, resulting from - e.g., fire, storm, lightning, flood, theft, explosion</t>
    </r>
  </si>
  <si>
    <r>
      <t xml:space="preserve">Marine hull cover
</t>
    </r>
    <r>
      <rPr>
        <sz val="12"/>
        <color rgb="FFFF0000"/>
        <rFont val="Calibri (Body)"/>
      </rPr>
      <t>indemnifies the insured against the value of loss or damage to the marine, subject to any limits or excesses, resulting from - e.g., fire, explosion, jettison, piracy, preils of the sea</t>
    </r>
  </si>
  <si>
    <r>
      <t xml:space="preserve">Percuniary loss
</t>
    </r>
    <r>
      <rPr>
        <sz val="12"/>
        <color rgb="FFFF0000"/>
        <rFont val="Calibri (Body)"/>
      </rPr>
      <t>Protects the insured against bad debts or failures of third party</t>
    </r>
  </si>
  <si>
    <r>
      <t xml:space="preserve">Fidelity guarantee
</t>
    </r>
    <r>
      <rPr>
        <sz val="12"/>
        <color rgb="FFFF0000"/>
        <rFont val="Calibri (Body)"/>
      </rPr>
      <t>Covers the insured against financial losses caused by dishonest actions by its employees - e.g., fraud or embezzlement</t>
    </r>
  </si>
  <si>
    <r>
      <t xml:space="preserve">Business interruption
</t>
    </r>
    <r>
      <rPr>
        <sz val="12"/>
        <color rgb="FFFF0000"/>
        <rFont val="Calibri (Body)"/>
      </rPr>
      <t>indemnifies the insured against losses made as a result of not being able to conduct business - e.g., due to a fire in the property itself or in a neighbouring property</t>
    </r>
  </si>
  <si>
    <r>
      <t xml:space="preserve">Personal accident
</t>
    </r>
    <r>
      <rPr>
        <sz val="12"/>
        <color rgb="FFFF0000"/>
        <rFont val="Calibri (Body)"/>
      </rPr>
      <t>Provides fixed benefits on loss of a limb or any other specified injury from an accident</t>
    </r>
  </si>
  <si>
    <r>
      <t xml:space="preserve">Health insurance
</t>
    </r>
    <r>
      <rPr>
        <sz val="12"/>
        <color rgb="FFFF0000"/>
        <rFont val="Calibri (Body)"/>
      </rPr>
      <t>Provides benefits, often fixed, for medical treatment in hospitals</t>
    </r>
  </si>
  <si>
    <t>1. Actuarial control cycle</t>
  </si>
  <si>
    <t>2. Risk management cycle</t>
  </si>
  <si>
    <t>3. Product life cycle</t>
  </si>
  <si>
    <t>4. Valuation cycle</t>
  </si>
  <si>
    <t>Professionalism</t>
  </si>
  <si>
    <t>General economic and commercial environment</t>
  </si>
  <si>
    <t>Handling complaints</t>
  </si>
  <si>
    <t>Important frameworks</t>
  </si>
  <si>
    <t>Data collection</t>
  </si>
  <si>
    <t>Select appropriate model</t>
  </si>
  <si>
    <t>Independent checks - e.g., auditors</t>
  </si>
  <si>
    <t>Submit to management / published accounts</t>
  </si>
  <si>
    <t>Remember:</t>
  </si>
  <si>
    <t>Premiums = claims + expenses + profit margin + tax + commission + cost of capital + contingency margins + options and guarantees + investment income + reinsurance costs + provisions basis + experience rating</t>
  </si>
  <si>
    <t>Also consider:</t>
  </si>
  <si>
    <r>
      <t>Decide on basis - for purpose (</t>
    </r>
    <r>
      <rPr>
        <b/>
        <sz val="12"/>
        <color rgb="FFFF0000"/>
        <rFont val="Calibri (Body)"/>
      </rPr>
      <t>results from experience investigations done</t>
    </r>
    <r>
      <rPr>
        <sz val="12"/>
        <color theme="1"/>
        <rFont val="Calibri"/>
        <family val="2"/>
        <scheme val="minor"/>
      </rPr>
      <t>)</t>
    </r>
  </si>
  <si>
    <t>Project cashflows
Sensitivity testing / scenario analysis
Stress tests</t>
  </si>
  <si>
    <r>
      <t xml:space="preserve">Distribution channel + competition + marginal costing or loss-leading + captive market (price elasticity) --&gt; </t>
    </r>
    <r>
      <rPr>
        <b/>
        <sz val="12"/>
        <color rgb="FFFF0000"/>
        <rFont val="Calibri (Body)"/>
      </rPr>
      <t>we get price = the amount that can be charged under a particular set of market conditions</t>
    </r>
  </si>
  <si>
    <r>
      <t xml:space="preserve">Product design and development
</t>
    </r>
    <r>
      <rPr>
        <sz val="12"/>
        <color theme="4"/>
        <rFont val="Calibri (Body)"/>
      </rPr>
      <t xml:space="preserve">  Features to include
  Cover / perils covered
  Customer needs
  Reinsurance
  Underwriting approach</t>
    </r>
  </si>
  <si>
    <r>
      <t xml:space="preserve">Marketing and promotion
  </t>
    </r>
    <r>
      <rPr>
        <sz val="12"/>
        <color theme="4"/>
        <rFont val="Calibri (Body)"/>
      </rPr>
      <t>Sales channels
  Brokers
  Marketing strategies
  Incentives &amp; reward</t>
    </r>
    <r>
      <rPr>
        <sz val="12"/>
        <color theme="1"/>
        <rFont val="Calibri"/>
        <family val="2"/>
        <scheme val="minor"/>
      </rPr>
      <t>s</t>
    </r>
  </si>
  <si>
    <r>
      <t xml:space="preserve">Advice and servicing
</t>
    </r>
    <r>
      <rPr>
        <sz val="12"/>
        <color theme="4"/>
        <rFont val="Calibri (Body)"/>
      </rPr>
      <t xml:space="preserve">  Administration systems
  Financial advisors
  Valuation / provisioning
  Capital requirements
  Risk management
  Experience monitoring</t>
    </r>
  </si>
  <si>
    <r>
      <t xml:space="preserve">Claims processing
</t>
    </r>
    <r>
      <rPr>
        <sz val="12"/>
        <color theme="4"/>
        <rFont val="Calibri (Body)"/>
      </rPr>
      <t xml:space="preserve">  Claims administration
  Loss adjustments
  Claims underwriting
  Excessive claims / fruad ?</t>
    </r>
  </si>
  <si>
    <r>
      <t xml:space="preserve">Risk identification
  </t>
    </r>
    <r>
      <rPr>
        <sz val="12"/>
        <color theme="4"/>
        <rFont val="Calibri (Body)"/>
      </rPr>
      <t>Risk classification - full coverage
  Risk checklists (SCR)
  Input from experts
  Project management:
    High-level prelim analysis
    Brainstorming
    Desktop analysis
    Risk register / matrix</t>
    </r>
  </si>
  <si>
    <r>
      <t xml:space="preserve">Risk measurement
</t>
    </r>
    <r>
      <rPr>
        <sz val="12"/>
        <color theme="4"/>
        <rFont val="Calibri (Body)"/>
      </rPr>
      <t xml:space="preserve">  Deterministic:
    Notional approach
    Factor sensitivity approach
    Scenario sensitivity approach
  Probabilistic:
    VaR
    TVaR
    Probability of ruin</t>
    </r>
  </si>
  <si>
    <r>
      <t xml:space="preserve">Risk control
</t>
    </r>
    <r>
      <rPr>
        <sz val="12"/>
        <color theme="4"/>
        <rFont val="Calibri (Body)"/>
      </rPr>
      <t xml:space="preserve">  Reinsurance (Proportional or XL)
  ART tools
  Diversification (</t>
    </r>
    <r>
      <rPr>
        <i/>
        <sz val="12"/>
        <color theme="4"/>
        <rFont val="Calibri (Body)"/>
      </rPr>
      <t>lines, geo, Re, Inv</t>
    </r>
    <r>
      <rPr>
        <sz val="12"/>
        <color theme="4"/>
        <rFont val="Calibri (Body)"/>
      </rPr>
      <t>)
  Underwriting NB
  Claims control systems
  Management control systems (</t>
    </r>
    <r>
      <rPr>
        <i/>
        <sz val="12"/>
        <color theme="4"/>
        <rFont val="Calibri (Body)"/>
      </rPr>
      <t>data                      recording, accounting &amp; auditing, monitoring Ls, mgmt O&amp;Gs)</t>
    </r>
  </si>
  <si>
    <r>
      <t xml:space="preserve">Risk financing
</t>
    </r>
    <r>
      <rPr>
        <sz val="12"/>
        <color theme="4"/>
        <rFont val="Calibri (Body)"/>
      </rPr>
      <t xml:space="preserve">  Likely cost of risk
  + cost effectiveness of control options
  Available capital to cover retained risks</t>
    </r>
  </si>
  <si>
    <r>
      <t xml:space="preserve">Risk reporting and monitoring
  </t>
    </r>
    <r>
      <rPr>
        <sz val="12"/>
        <color theme="4"/>
        <rFont val="Calibri (Body)"/>
      </rPr>
      <t>Changes in risk exposures
  Changes in risk appetite
  Identify new risks
  Risk events - how they were dealt with
  Effectiveness of R.M programme</t>
    </r>
  </si>
  <si>
    <r>
      <t xml:space="preserve">Risk classification
</t>
    </r>
    <r>
      <rPr>
        <sz val="12"/>
        <color theme="4"/>
        <rFont val="Calibri (Body)"/>
      </rPr>
      <t xml:space="preserve">  Market risk: </t>
    </r>
    <r>
      <rPr>
        <b/>
        <sz val="12"/>
        <color theme="3"/>
        <rFont val="Calibri (Body)"/>
      </rPr>
      <t>Assets, Liabilties, mismatching impact</t>
    </r>
    <r>
      <rPr>
        <sz val="12"/>
        <color theme="4"/>
        <rFont val="Calibri (Body)"/>
      </rPr>
      <t xml:space="preserve">
  Credit risk: </t>
    </r>
    <r>
      <rPr>
        <b/>
        <sz val="12"/>
        <color theme="3"/>
        <rFont val="Calibri (Body)"/>
      </rPr>
      <t>borrower default, reinsurer / counterpary default, general debtors, banking counterparty default</t>
    </r>
    <r>
      <rPr>
        <sz val="12"/>
        <color theme="4"/>
        <rFont val="Calibri (Body)"/>
      </rPr>
      <t xml:space="preserve">
  Liquidity risk: </t>
    </r>
    <r>
      <rPr>
        <b/>
        <sz val="12"/>
        <color theme="3"/>
        <rFont val="Calibri (Body)"/>
      </rPr>
      <t>single asset - fail to meet obligations, market illiquidity</t>
    </r>
    <r>
      <rPr>
        <sz val="12"/>
        <color theme="4"/>
        <rFont val="Calibri (Body)"/>
      </rPr>
      <t xml:space="preserve">
  Business risk:</t>
    </r>
    <r>
      <rPr>
        <sz val="12"/>
        <color theme="3"/>
        <rFont val="Calibri (Body)"/>
      </rPr>
      <t xml:space="preserve"> </t>
    </r>
    <r>
      <rPr>
        <b/>
        <sz val="12"/>
        <color theme="3"/>
        <rFont val="Calibri (Body)"/>
      </rPr>
      <t>U/w, insurance, financing, exposure risks</t>
    </r>
    <r>
      <rPr>
        <sz val="12"/>
        <color theme="4"/>
        <rFont val="Calibri (Body)"/>
      </rPr>
      <t xml:space="preserve">
  Operational risk
  External risk
  Climate change risk</t>
    </r>
    <r>
      <rPr>
        <sz val="12"/>
        <color theme="1"/>
        <rFont val="Calibri"/>
        <family val="2"/>
        <scheme val="minor"/>
      </rPr>
      <t xml:space="preserve">: </t>
    </r>
    <r>
      <rPr>
        <b/>
        <sz val="12"/>
        <color theme="1"/>
        <rFont val="Calibri"/>
        <family val="2"/>
        <scheme val="minor"/>
      </rPr>
      <t>physical, transition, liability risks</t>
    </r>
  </si>
  <si>
    <r>
      <t xml:space="preserve">Specifying the problem
 </t>
    </r>
    <r>
      <rPr>
        <sz val="12"/>
        <color rgb="FF00B050"/>
        <rFont val="Calibri (Body)"/>
      </rPr>
      <t xml:space="preserve"> Anaylse the risks of various stakeholders
  Set out the problem from the POV of each stakeholder
  Consider strategic courses of action - to handle the risks
  Assess risks faced - how to manage, mitigate, or transfer
  Analyse options for design of plans to be considered
</t>
    </r>
    <r>
      <rPr>
        <sz val="12"/>
        <color theme="1"/>
        <rFont val="Calibri"/>
        <family val="2"/>
        <scheme val="minor"/>
      </rPr>
      <t xml:space="preserve">  </t>
    </r>
  </si>
  <si>
    <r>
      <t xml:space="preserve">Monitoring the experience
 </t>
    </r>
    <r>
      <rPr>
        <sz val="12"/>
        <color rgb="FF00B050"/>
        <rFont val="Calibri (Body)"/>
      </rPr>
      <t xml:space="preserve"> Monitor the experience and feedback into first two stages
  ID causes of departure from targeted outcome from model
  Is departure once-off or likely to recur</t>
    </r>
  </si>
  <si>
    <r>
      <t xml:space="preserve">Developing the solution
 </t>
    </r>
    <r>
      <rPr>
        <sz val="12"/>
        <color rgb="FF00B050"/>
        <rFont val="Calibri (Body)"/>
      </rPr>
      <t xml:space="preserve"> Examine major actuarial models in use - adjust for problem
  Select appropriate model for problem / construct new model
  Consider and select assumptions to use
  Understand sensitivity of results to assumptions
  Interpret modelling results
  Consider implications of model results on overall problem
  Consider implications of results for stakeholders
  Determine proposed solutions to the problem
  Consider alternative solutions to the problem
  Formalise proposal</t>
    </r>
  </si>
  <si>
    <r>
      <t xml:space="preserve">Pricing
</t>
    </r>
    <r>
      <rPr>
        <sz val="12"/>
        <color rgb="FF0070C0"/>
        <rFont val="Calibri (Body)"/>
      </rPr>
      <t xml:space="preserve">  Risk / Rating factors to use
  Proposal forms design
  Model points
  Profit testing model
  Pricing basis
  Profit test &amp; market test premiums</t>
    </r>
  </si>
  <si>
    <r>
      <t xml:space="preserve">Reasonability checks
Analysis of surplus
</t>
    </r>
    <r>
      <rPr>
        <sz val="12"/>
        <color rgb="FFFF0000"/>
        <rFont val="Calibri (Body)"/>
      </rPr>
      <t>Additional capital required? Or release capital?</t>
    </r>
    <r>
      <rPr>
        <sz val="12"/>
        <color theme="1"/>
        <rFont val="Calibri"/>
        <family val="2"/>
        <scheme val="minor"/>
      </rPr>
      <t xml:space="preserve">
</t>
    </r>
    <r>
      <rPr>
        <b/>
        <sz val="12"/>
        <color rgb="FFFF0000"/>
        <rFont val="Calibri (Body)"/>
      </rPr>
      <t>Update basis?</t>
    </r>
  </si>
  <si>
    <t>Data</t>
  </si>
  <si>
    <t>Calculating Benefit Scheme liabilities</t>
  </si>
  <si>
    <t>Date member joined</t>
  </si>
  <si>
    <t>Age and gender of member</t>
  </si>
  <si>
    <t>Current salary of member</t>
  </si>
  <si>
    <t>Contracted retirement age of member</t>
  </si>
  <si>
    <t>Historic staff turnover</t>
  </si>
  <si>
    <t>Future salary inflation</t>
  </si>
  <si>
    <t>Mortality - Pre-retirement and post-retirement</t>
  </si>
  <si>
    <t>Risk discount rate</t>
  </si>
  <si>
    <t>Mortality experience analysis</t>
  </si>
  <si>
    <t>Premiums received</t>
  </si>
  <si>
    <t>Claims details: incurred, notification, and payment dates</t>
  </si>
  <si>
    <t>In-force policy data: at start and end of investigation period</t>
  </si>
  <si>
    <t>Lapses</t>
  </si>
  <si>
    <t>Analysis of trends</t>
  </si>
  <si>
    <t>Details of product changes over time</t>
  </si>
  <si>
    <t>Comparing in-house experience with industry data</t>
  </si>
  <si>
    <t>Exposure on in-house insured lives</t>
  </si>
  <si>
    <t>Rating factors: in-house vs. industry</t>
  </si>
  <si>
    <t>Claims that happened over the period</t>
  </si>
  <si>
    <t>Sensitive p/h data needed to u/w</t>
  </si>
  <si>
    <t>Identification details - ID number</t>
  </si>
  <si>
    <t>Race and gender info</t>
  </si>
  <si>
    <t>Physical address info</t>
  </si>
  <si>
    <t>Contact info - e.g., email, telephone</t>
  </si>
  <si>
    <t>Banking info</t>
  </si>
  <si>
    <t>Occupation info</t>
  </si>
  <si>
    <t>Income details</t>
  </si>
  <si>
    <t>Education details</t>
  </si>
  <si>
    <t>Beneficiary info</t>
  </si>
  <si>
    <t>Medical history and current physical and mental health</t>
  </si>
  <si>
    <t>Criminal history</t>
  </si>
  <si>
    <t>Membership of unions or religions</t>
  </si>
  <si>
    <t>Sources of big data (life insurer)</t>
  </si>
  <si>
    <t>Application forms of new and current clients</t>
  </si>
  <si>
    <t>Underwriting tests / records / data</t>
  </si>
  <si>
    <t>Social media accounts</t>
  </si>
  <si>
    <t>Medical history records</t>
  </si>
  <si>
    <t>Credit history / scores</t>
  </si>
  <si>
    <t>Banking / transactional info</t>
  </si>
  <si>
    <t>Shopping history</t>
  </si>
  <si>
    <t>Browser info</t>
  </si>
  <si>
    <t>Travel info</t>
  </si>
  <si>
    <t>Potential uses of big data</t>
  </si>
  <si>
    <t>Analyse and enrigh in-house epxerience - view on refined pricing</t>
  </si>
  <si>
    <t>Target specific individuals or upselling marketing campaings</t>
  </si>
  <si>
    <t>Underwrite cover for prospective clients</t>
  </si>
  <si>
    <t>Investigate claims</t>
  </si>
  <si>
    <t>Create superior individualised client experiences - e.g., rewards programmes</t>
  </si>
  <si>
    <t>Tailor made rewards</t>
  </si>
  <si>
    <t>NB: comply with all relevant data regulation</t>
  </si>
  <si>
    <t>Motor insurance: premiums calc</t>
  </si>
  <si>
    <t>Recent exposure info on all covered vehicles</t>
  </si>
  <si>
    <t>Claims info consistent with exposure data</t>
  </si>
  <si>
    <t>Date of claim events</t>
  </si>
  <si>
    <t>Date vehicle went for repairts</t>
  </si>
  <si>
    <t>Date claims settled / repairs done / replaced</t>
  </si>
  <si>
    <t>Type of claim event - e.g., accident, theft, fire, etc</t>
  </si>
  <si>
    <t>Fixed rental price per day</t>
  </si>
  <si>
    <t>Motor insurance: premium modelling (stochastic)</t>
  </si>
  <si>
    <t>A stochastic model is ideal as we need to derive distribution of costs</t>
  </si>
  <si>
    <t>The basic risk cost of providing this benefit is: prob. Claim requires rental * expected # days rental * cost per day of rental</t>
  </si>
  <si>
    <t>Using historic data, we can derive / estimate distribution and associated parameters of the claims frequency</t>
  </si>
  <si>
    <t>and for the number of days a rental is required in the event of a claim</t>
  </si>
  <si>
    <t>May be necessary to treat perils separately - e.g., accidents that leads to repair will behave differently to a car that was stolen</t>
  </si>
  <si>
    <t>This may required some dynamic links between distributions of frequency and severity</t>
  </si>
  <si>
    <t>Given that premium is the same for all p/hs, we may simplify the models to not be a fucniton of the individual p/h risk profieles</t>
  </si>
  <si>
    <t>but rather a distribution based on overall experience</t>
  </si>
  <si>
    <t xml:space="preserve">After distributions have been fit - run goodness of fit tests </t>
  </si>
  <si>
    <t>Perhaps by comparing actual experience of days until repaired / replaced with that predicted by the fitted distributions</t>
  </si>
  <si>
    <t>This, however, implicitly assumes that future experience will be similar to the experience in the observed data</t>
  </si>
  <si>
    <t>Explicit assumptions however can be made to allow for trends</t>
  </si>
  <si>
    <t>or for prudence</t>
  </si>
  <si>
    <t>one would also need to consider whether an ajdustement is needed to the distirbutions in view of the fact that this is an elective option</t>
  </si>
  <si>
    <t>and hence might be some anti-selection - might require a loading</t>
  </si>
  <si>
    <t>Model would then be run on the exposure thouse of times to simulate claim events</t>
  </si>
  <si>
    <t>and the distribution of the expected claims cost can be derived from the output</t>
  </si>
  <si>
    <t>Simulated claims cost may need to be grossed up for expnesnes (e.g., commission) as well as profit</t>
  </si>
  <si>
    <t>this will be summarised (pecentiles) and presented to management for discussion</t>
  </si>
  <si>
    <t xml:space="preserve">QUESTION 5 </t>
  </si>
  <si>
    <t xml:space="preserve">Examiner’s comments: </t>
  </si>
  <si>
    <t xml:space="preserve">Part i:This was straight bookwork, and a number of candidates could not provide a sufficient response on the bookwork. Many candidates listed more than 6 points and thus would have wasted time or repeated the same point within their 6. </t>
  </si>
  <si>
    <t xml:space="preserve">Part ii: This required an application of bookwork and expansion of the points in the course material. Most candidates answered the question in an insurance context and not a pensions context. A number of candidates incorrectly focused on how to set assumptions in a pension fund instead of the data issues. </t>
  </si>
  <si>
    <t xml:space="preserve">i. </t>
  </si>
  <si>
    <t>Data inaccurate or incomplete</t>
  </si>
  <si>
    <t>Data not credible due to insufficient volume</t>
  </si>
  <si>
    <t>Data not sufficiently relevant to intended purpose</t>
  </si>
  <si>
    <t>Data not reflecting what will happen in future</t>
  </si>
  <si>
    <t>Data groupings may not be optimal</t>
  </si>
  <si>
    <t xml:space="preserve">Data not available in appropriate form for intended purpose </t>
  </si>
  <si>
    <t xml:space="preserve">ii. </t>
  </si>
  <si>
    <t>Quality of data</t>
  </si>
  <si>
    <t>Data supplied by contributors to database may be inaccurate</t>
  </si>
  <si>
    <t>Data may be incomplete</t>
  </si>
  <si>
    <t>Data quality depends on quality of all contributors’ data systems</t>
  </si>
  <si>
    <t>As more companies contribute, more likely that one will make a mistake and invalidate the whole data set</t>
  </si>
  <si>
    <t xml:space="preserve">Data likely to be outdated due to time taken to collect and process </t>
  </si>
  <si>
    <t>Relevance</t>
  </si>
  <si>
    <t>Data may not be sufficiently relevant to intended purpose ...</t>
  </si>
  <si>
    <t>... such as data and experience for other pension schemes may not be comparable to this scheme, or</t>
  </si>
  <si>
    <t>... if the company employs a different socio-economic mix than industry average, or</t>
  </si>
  <si>
    <t>...nature of scheme benefits different from industry average, or</t>
  </si>
  <si>
    <t>... extent to which membership is voluntary or compulsory relative to average</t>
  </si>
  <si>
    <t xml:space="preserve">Industry-wide data may include only a subsection of schemes and they may not be representative of the market as a whole </t>
  </si>
  <si>
    <t>Format</t>
  </si>
  <si>
    <t>Data may not be available in an appropriate form</t>
  </si>
  <si>
    <t>Data stored by companies may not be the same</t>
  </si>
  <si>
    <t>Chosen data groups in the industry data might be sub-optimal for this scheme Coding used for factors by which data is split may vary between schemes Schemes may use different definitions of benefit</t>
  </si>
  <si>
    <t xml:space="preserve">Industry-wide data is usually at a less detailed level than available internally </t>
  </si>
  <si>
    <t>Credibility</t>
  </si>
  <si>
    <t xml:space="preserve">Volume of industry-wide data may still not be credible for some groups ... </t>
  </si>
  <si>
    <t xml:space="preserve">... particularly if the valuation requires assessment under extreme conditions </t>
  </si>
  <si>
    <t>Future</t>
  </si>
  <si>
    <t>Past data may not reflect what will happen in future, due to... ... past abnormal events</t>
  </si>
  <si>
    <t>... significant random fluctuations</t>
  </si>
  <si>
    <t>...changes in way data was recorded</t>
  </si>
  <si>
    <t>...changes in the balance of any homogenous groups</t>
  </si>
  <si>
    <t>... medical changes</t>
  </si>
  <si>
    <t>... social changes</t>
  </si>
  <si>
    <t xml:space="preserve">... economic changes </t>
  </si>
  <si>
    <t>Overall</t>
  </si>
  <si>
    <t xml:space="preserve">Lack of confidence in the data will reduce confidence in the valuation result </t>
  </si>
  <si>
    <t>i.</t>
  </si>
  <si>
    <t>List six key risks relating to data in an insurer. [3]</t>
  </si>
  <si>
    <t>ii.</t>
  </si>
  <si>
    <t>A small pension scheme has decided to use data from an industry-wide collection on pensioner data in order to set its valuation assumptions. Discuss the risks and issues arising from the use of this data. [10]</t>
  </si>
  <si>
    <t>Source: Actuarial Society of South Africa - Subject A311 - Actuarial Risk Management - 9 October 2020 - Paper Two Question 5</t>
  </si>
  <si>
    <t>Requirements for good quality data</t>
  </si>
  <si>
    <t>Proposal form</t>
  </si>
  <si>
    <t>Needs to designed to collect data at desiredlevel</t>
  </si>
  <si>
    <t>including data that may only be needed in the future</t>
  </si>
  <si>
    <t>Must be clear and unambiguous - so proposer gives correct info</t>
  </si>
  <si>
    <t>Must have inputs that are quantitative as far as possible</t>
  </si>
  <si>
    <t>Input data onto the system</t>
  </si>
  <si>
    <t>System inputs should be in same order as proposal form</t>
  </si>
  <si>
    <t>and ensure that capturer does not need to interpret the info</t>
  </si>
  <si>
    <t>Data capturers should be well trained</t>
  </si>
  <si>
    <t>Where inputs can be inferred from other data - system should pre-populate them</t>
  </si>
  <si>
    <t>e.g., date of birth and gender --&gt; from ID number</t>
  </si>
  <si>
    <t>Finacnial incentives offered for accurarcy of input</t>
  </si>
  <si>
    <t>System should have validation checks:</t>
  </si>
  <si>
    <t xml:space="preserve">  Checks on blank entry fields</t>
  </si>
  <si>
    <t xml:space="preserve">  Sensible entry values</t>
  </si>
  <si>
    <t>insurer may send p/h copy of key info and ask them to verify</t>
  </si>
  <si>
    <t>Claims form</t>
  </si>
  <si>
    <t>Must also be clear and unambiguous</t>
  </si>
  <si>
    <r>
      <t xml:space="preserve">and link to the proposal form - </t>
    </r>
    <r>
      <rPr>
        <b/>
        <sz val="12"/>
        <color theme="1"/>
        <rFont val="Calibri"/>
        <family val="2"/>
        <scheme val="minor"/>
      </rPr>
      <t>carry out cross-checking of info</t>
    </r>
  </si>
  <si>
    <t>Other features</t>
  </si>
  <si>
    <t>System capable of storing infor - so historical data is available for future pricing exercise</t>
  </si>
  <si>
    <t>system robust and flexible</t>
  </si>
  <si>
    <t>system secure</t>
  </si>
  <si>
    <t>Only certain idinviduals allowed to amend data on system</t>
  </si>
  <si>
    <t>Checks of movement analyses carried out regularly</t>
  </si>
  <si>
    <t>checks of changes in policy details carried out regulalry</t>
  </si>
  <si>
    <t>Validation checks on internal experience analysis</t>
  </si>
  <si>
    <t>Data integrity</t>
  </si>
  <si>
    <t>Check that data received from accounting department ties up with admin department data</t>
  </si>
  <si>
    <t>i.e., the policy did exist and that premiums expected to be recived were received</t>
  </si>
  <si>
    <t>Checks that policy count builds up correctly</t>
  </si>
  <si>
    <t xml:space="preserve">  In-force at start of period</t>
  </si>
  <si>
    <t xml:space="preserve">  + new policies written during the period</t>
  </si>
  <si>
    <t xml:space="preserve">  - policies lapsing during the period</t>
  </si>
  <si>
    <t xml:space="preserve">  - policies terminating for other reasons than lapses (e.g., death, maturity)</t>
  </si>
  <si>
    <t xml:space="preserve">  = in-force at end of valuation period</t>
  </si>
  <si>
    <t>Needs to be done for each major product class and u/w year</t>
  </si>
  <si>
    <t>Check if the results, and raw input, for the report are consistet with that in the previous report</t>
  </si>
  <si>
    <t>Check that the data for the report reconciles with that in other reports</t>
  </si>
  <si>
    <t>e.g., supervisory returns, published accounts</t>
  </si>
  <si>
    <t>Correct and consistent exposure and claims counts</t>
  </si>
  <si>
    <t>Check that policies are correctly classified as lapsed based on when premiums were last received</t>
  </si>
  <si>
    <t>Check whether there was an option to have a shorter premium paying term than the policy is on risk for</t>
  </si>
  <si>
    <t>Check for potential distorition to the results due to timing</t>
  </si>
  <si>
    <t>e.g., number of policies in premium grace period that have not paid premiums</t>
  </si>
  <si>
    <t>Check consistent / correspondence between exposure and claim data</t>
  </si>
  <si>
    <t>Validation of process and results</t>
  </si>
  <si>
    <t>Check for errors in the data transfer manipulation process</t>
  </si>
  <si>
    <t>Check the grouping of the data</t>
  </si>
  <si>
    <t>Is the actual lapse experience consistent with what was expected</t>
  </si>
  <si>
    <t>Check that the lapse rate measur is consistnet with the industry experience lapse rate measure</t>
  </si>
  <si>
    <t>Analyse the drivers of the lapse rate</t>
  </si>
  <si>
    <t>Check the AoS</t>
  </si>
  <si>
    <t>Check for changes in the mix of business -e.g., SA, age</t>
  </si>
  <si>
    <t>LI: Lump sum discontinuance</t>
  </si>
  <si>
    <t>Starting point = accumulated premiums - expenses incurred</t>
  </si>
  <si>
    <t>i.e., the asset share = accumulated value of the contracts</t>
  </si>
  <si>
    <t>Paying the asset share should generally be fair to discontinuing and continuing p/hs</t>
  </si>
  <si>
    <r>
      <t xml:space="preserve">Paying the asset share should avoid a loss, </t>
    </r>
    <r>
      <rPr>
        <b/>
        <sz val="12"/>
        <color theme="1"/>
        <rFont val="Calibri"/>
        <family val="2"/>
        <scheme val="minor"/>
      </rPr>
      <t>except at earlier durations (asset share &lt; 0)</t>
    </r>
  </si>
  <si>
    <t>At early durations, p/h may have reasonable expectation of receiving benefit = return of premiums (with some interest) but with no expense adjustment</t>
  </si>
  <si>
    <t>Even if there are no guarantees wrt surrender values (e.g., NB disclosure) - p/h will still have this expectation</t>
  </si>
  <si>
    <t>Hence, to meet PRE, insurer might have to pay more than the asset share at early durations</t>
  </si>
  <si>
    <t>The losses on early discontinuance could be recouped by paying less the AS at later durations</t>
  </si>
  <si>
    <t>As maturity approaches, p/h with havle PRE that discontinuance terms smooth into the maturity value</t>
  </si>
  <si>
    <t>Over the full term of the contract, there should be a smooth progression in discontinuance terms</t>
  </si>
  <si>
    <t>The insurer should honour any guaranteed discountinuance terms part of the contract T&amp;Cs</t>
  </si>
  <si>
    <t>The method should be straightforward and well-documented</t>
  </si>
  <si>
    <t>The basis should not be subject to frequent change under normal circumstances</t>
  </si>
  <si>
    <t>Consider what competitors are paying on discontinuance</t>
  </si>
  <si>
    <t>Consider restrictions imposed by regulation - e.g., regulator may prescribe basis for calculating discontinuance terms or maybe a minimum amount</t>
  </si>
  <si>
    <t>Basis for calculating transfer values</t>
  </si>
  <si>
    <t>Ensure basic validity checks on the data</t>
  </si>
  <si>
    <t>Mostly short-term liabilties
Some may be long term - e.g., critical illness or long-term care cover</t>
  </si>
  <si>
    <t>Alterations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</si>
</sst>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0">
    <font>
      <sz val="12"/>
      <color theme="1"/>
      <name val="Calibri"/>
      <family val="2"/>
      <scheme val="minor"/>
    </font>
    <font>
      <sz val="12"/>
      <color theme="1"/>
      <name val="Calibri"/>
      <family val="2"/>
      <scheme val="minor"/>
    </font>
    <font>
      <b/>
      <sz val="12"/>
      <color theme="0"/>
      <name val="Calibri"/>
      <family val="2"/>
      <scheme val="minor"/>
    </font>
    <font>
      <sz val="12"/>
      <color rgb="FFFF0000"/>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b/>
      <sz val="12"/>
      <color rgb="FF0070C0"/>
      <name val="Calibri"/>
      <family val="2"/>
      <scheme val="minor"/>
    </font>
    <font>
      <sz val="12"/>
      <color rgb="FF0070C0"/>
      <name val="Calibri"/>
      <family val="2"/>
      <scheme val="minor"/>
    </font>
    <font>
      <b/>
      <i/>
      <sz val="12"/>
      <color rgb="FFFF0000"/>
      <name val="Calibri"/>
      <family val="2"/>
      <scheme val="minor"/>
    </font>
    <font>
      <b/>
      <sz val="12"/>
      <color rgb="FFFF0000"/>
      <name val="Calibri (Body)"/>
    </font>
    <font>
      <sz val="12"/>
      <color rgb="FF0070C0"/>
      <name val="Calibri (Body)"/>
    </font>
    <font>
      <b/>
      <sz val="12"/>
      <color rgb="FF0070C0"/>
      <name val="Calibri (Body)"/>
    </font>
    <font>
      <b/>
      <sz val="12"/>
      <color theme="4"/>
      <name val="Calibri (Body)"/>
    </font>
    <font>
      <sz val="12"/>
      <color theme="4"/>
      <name val="Calibri (Body)"/>
    </font>
    <font>
      <b/>
      <sz val="12"/>
      <color rgb="FFFF0000"/>
      <name val="Calibri"/>
      <family val="2"/>
      <scheme val="minor"/>
    </font>
    <font>
      <sz val="12"/>
      <color rgb="FFFF0000"/>
      <name val="Calibri (Body)"/>
    </font>
    <font>
      <sz val="12"/>
      <color theme="0"/>
      <name val="Calibri"/>
      <family val="2"/>
      <scheme val="minor"/>
    </font>
    <font>
      <i/>
      <sz val="12"/>
      <color theme="4"/>
      <name val="Calibri (Body)"/>
    </font>
    <font>
      <b/>
      <sz val="12"/>
      <color theme="3"/>
      <name val="Calibri (Body)"/>
    </font>
    <font>
      <sz val="12"/>
      <color theme="3"/>
      <name val="Calibri (Body)"/>
    </font>
    <font>
      <sz val="12"/>
      <color rgb="FF00B050"/>
      <name val="Calibri (Body)"/>
    </font>
    <font>
      <b/>
      <sz val="12"/>
      <color theme="1"/>
      <name val="TimesNewRomanPS"/>
    </font>
    <font>
      <b/>
      <i/>
      <sz val="12"/>
      <color theme="1"/>
      <name val="TimesNewRomanPS"/>
    </font>
    <font>
      <i/>
      <sz val="11"/>
      <color theme="1"/>
      <name val="TimesNewRomanPS"/>
    </font>
    <font>
      <sz val="12"/>
      <color theme="1"/>
      <name val="TimesNewRomanPSMT"/>
    </font>
    <font>
      <sz val="14"/>
      <color rgb="FF333333"/>
      <name val="Montserrat"/>
    </font>
    <font>
      <sz val="15"/>
      <color rgb="FF000000"/>
      <name val="Montserrat"/>
    </font>
    <font>
      <i/>
      <sz val="12"/>
      <color rgb="FF9A9A9A"/>
      <name val="Montserrat"/>
    </font>
    <font>
      <sz val="12"/>
      <color theme="4"/>
      <name val="Calibri"/>
      <family val="2"/>
      <scheme val="minor"/>
    </font>
  </fonts>
  <fills count="7">
    <fill>
      <patternFill patternType="none"/>
    </fill>
    <fill>
      <patternFill patternType="gray125"/>
    </fill>
    <fill>
      <patternFill patternType="solid">
        <fgColor theme="1"/>
        <bgColor indexed="64"/>
      </patternFill>
    </fill>
    <fill>
      <patternFill patternType="solid">
        <fgColor rgb="FF92D05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6">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2" fillId="2" borderId="2" xfId="0" applyFont="1" applyFill="1" applyBorder="1" applyAlignment="1">
      <alignment horizontal="left" vertic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0" fillId="0" borderId="0" xfId="0" applyAlignment="1">
      <alignment vertical="center" wrapText="1"/>
    </xf>
    <xf numFmtId="0" fontId="2" fillId="2" borderId="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3" xfId="0" applyFont="1" applyFill="1" applyBorder="1" applyAlignment="1">
      <alignment horizontal="left" vertical="center" wrapText="1"/>
    </xf>
    <xf numFmtId="0" fontId="4" fillId="0" borderId="4" xfId="0" applyFont="1" applyBorder="1" applyAlignment="1">
      <alignment horizontal="left" vertical="center" wrapText="1"/>
    </xf>
    <xf numFmtId="0" fontId="2" fillId="2" borderId="2" xfId="0" applyFont="1" applyFill="1" applyBorder="1"/>
    <xf numFmtId="0" fontId="2" fillId="2" borderId="8" xfId="0" applyFont="1" applyFill="1" applyBorder="1"/>
    <xf numFmtId="0" fontId="4" fillId="0" borderId="1" xfId="0" applyFont="1" applyBorder="1" applyAlignment="1">
      <alignment wrapText="1"/>
    </xf>
    <xf numFmtId="0" fontId="4" fillId="0" borderId="14" xfId="0" applyFont="1" applyBorder="1" applyAlignment="1">
      <alignment wrapText="1"/>
    </xf>
    <xf numFmtId="0" fontId="4" fillId="0" borderId="17" xfId="0" applyFont="1" applyBorder="1" applyAlignment="1">
      <alignment wrapText="1"/>
    </xf>
    <xf numFmtId="0" fontId="4" fillId="0" borderId="11" xfId="0" applyFont="1" applyBorder="1" applyAlignment="1">
      <alignment wrapText="1"/>
    </xf>
    <xf numFmtId="0" fontId="4" fillId="0" borderId="9" xfId="0" applyFont="1" applyBorder="1" applyAlignment="1">
      <alignment wrapText="1"/>
    </xf>
    <xf numFmtId="0" fontId="0" fillId="0" borderId="5"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12" xfId="0" applyBorder="1" applyAlignment="1">
      <alignment vertical="center" wrapText="1"/>
    </xf>
    <xf numFmtId="0" fontId="0" fillId="0" borderId="7" xfId="0" applyBorder="1" applyAlignment="1">
      <alignment vertical="center" wrapText="1"/>
    </xf>
    <xf numFmtId="0" fontId="4" fillId="0" borderId="22" xfId="0" applyFont="1"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7" fillId="0" borderId="22" xfId="0" applyFont="1" applyBorder="1" applyAlignment="1">
      <alignment horizontal="left" vertical="center" wrapText="1"/>
    </xf>
    <xf numFmtId="0" fontId="8" fillId="0" borderId="23" xfId="0" applyFont="1" applyBorder="1" applyAlignment="1">
      <alignment horizontal="left" vertical="center" wrapText="1"/>
    </xf>
    <xf numFmtId="0" fontId="8" fillId="0" borderId="24" xfId="0" applyFont="1" applyBorder="1" applyAlignment="1">
      <alignment horizontal="left" vertical="center" wrapText="1"/>
    </xf>
    <xf numFmtId="0" fontId="7"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3" fillId="0" borderId="0" xfId="0" applyFont="1" applyAlignment="1">
      <alignment horizontal="left" vertical="center" wrapText="1"/>
    </xf>
    <xf numFmtId="0" fontId="4" fillId="3" borderId="0" xfId="0" applyFont="1" applyFill="1" applyAlignment="1">
      <alignment horizontal="left" vertical="center" wrapText="1"/>
    </xf>
    <xf numFmtId="0" fontId="4" fillId="3" borderId="0" xfId="0" applyFont="1" applyFill="1" applyAlignment="1">
      <alignment horizontal="center" vertical="center" wrapText="1"/>
    </xf>
    <xf numFmtId="0" fontId="4" fillId="3" borderId="25" xfId="0" applyFont="1" applyFill="1" applyBorder="1" applyAlignment="1">
      <alignment vertical="center" wrapText="1"/>
    </xf>
    <xf numFmtId="164" fontId="0" fillId="0" borderId="0" xfId="1" applyNumberFormat="1" applyFont="1"/>
    <xf numFmtId="10" fontId="0" fillId="0" borderId="0" xfId="2" applyNumberFormat="1" applyFont="1"/>
    <xf numFmtId="0" fontId="0" fillId="0" borderId="0" xfId="0" applyAlignment="1">
      <alignment wrapText="1"/>
    </xf>
    <xf numFmtId="0" fontId="2" fillId="2" borderId="26" xfId="0" applyFont="1" applyFill="1" applyBorder="1" applyAlignment="1">
      <alignment horizontal="left" vertical="center"/>
    </xf>
    <xf numFmtId="0" fontId="0" fillId="0" borderId="27" xfId="0" applyBorder="1" applyAlignment="1">
      <alignment wrapText="1"/>
    </xf>
    <xf numFmtId="0" fontId="0" fillId="0" borderId="28" xfId="0" applyBorder="1" applyAlignment="1">
      <alignment wrapText="1"/>
    </xf>
    <xf numFmtId="0" fontId="2" fillId="2" borderId="29" xfId="0" applyFont="1" applyFill="1" applyBorder="1" applyAlignment="1">
      <alignment horizontal="left" vertical="center"/>
    </xf>
    <xf numFmtId="0" fontId="0" fillId="0" borderId="26" xfId="0" applyBorder="1" applyAlignment="1">
      <alignment wrapText="1"/>
    </xf>
    <xf numFmtId="0" fontId="4" fillId="0" borderId="28" xfId="0" applyFont="1" applyBorder="1" applyAlignment="1">
      <alignment wrapText="1"/>
    </xf>
    <xf numFmtId="0" fontId="3" fillId="0" borderId="0" xfId="0" applyFont="1" applyAlignment="1">
      <alignment wrapText="1"/>
    </xf>
    <xf numFmtId="0" fontId="2" fillId="2" borderId="30" xfId="0" applyFont="1" applyFill="1" applyBorder="1" applyAlignment="1">
      <alignment horizontal="lef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2" fillId="2" borderId="26" xfId="0" applyFont="1" applyFill="1" applyBorder="1" applyAlignment="1">
      <alignment horizontal="left"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15" fillId="0" borderId="27" xfId="0" applyFont="1" applyBorder="1" applyAlignment="1">
      <alignment horizontal="left" vertical="center" wrapText="1"/>
    </xf>
    <xf numFmtId="0" fontId="4" fillId="0" borderId="27" xfId="0" applyFont="1" applyBorder="1" applyAlignment="1">
      <alignment wrapText="1"/>
    </xf>
    <xf numFmtId="0" fontId="0" fillId="0" borderId="4" xfId="0" applyBorder="1" applyAlignment="1">
      <alignment horizontal="left" vertical="center"/>
    </xf>
    <xf numFmtId="0" fontId="0" fillId="0" borderId="6" xfId="0" applyBorder="1" applyAlignment="1">
      <alignment horizontal="left" vertical="center"/>
    </xf>
    <xf numFmtId="0" fontId="4" fillId="0" borderId="35" xfId="0" applyFont="1" applyBorder="1" applyAlignment="1">
      <alignment wrapText="1"/>
    </xf>
    <xf numFmtId="0" fontId="4" fillId="0" borderId="0" xfId="0" applyFont="1"/>
    <xf numFmtId="0" fontId="0" fillId="0" borderId="4" xfId="0" applyBorder="1"/>
    <xf numFmtId="0" fontId="2" fillId="2" borderId="3" xfId="0" applyFont="1" applyFill="1" applyBorder="1"/>
    <xf numFmtId="0" fontId="0" fillId="0" borderId="22" xfId="0" applyBorder="1"/>
    <xf numFmtId="0" fontId="3" fillId="0" borderId="6" xfId="0" applyFont="1" applyBorder="1"/>
    <xf numFmtId="0" fontId="3" fillId="0" borderId="7" xfId="0" applyFont="1" applyBorder="1" applyAlignment="1">
      <alignment horizontal="left" vertical="center" wrapText="1"/>
    </xf>
    <xf numFmtId="0" fontId="4" fillId="0" borderId="22" xfId="0" applyFont="1" applyBorder="1"/>
    <xf numFmtId="0" fontId="4" fillId="4" borderId="28" xfId="0" applyFont="1" applyFill="1" applyBorder="1" applyAlignment="1">
      <alignment wrapText="1"/>
    </xf>
    <xf numFmtId="0" fontId="4" fillId="0" borderId="31" xfId="0" applyFont="1" applyBorder="1" applyAlignment="1">
      <alignment wrapText="1"/>
    </xf>
    <xf numFmtId="0" fontId="4" fillId="0" borderId="36" xfId="0" applyFont="1" applyBorder="1" applyAlignment="1">
      <alignment wrapText="1"/>
    </xf>
    <xf numFmtId="0" fontId="4" fillId="0" borderId="37" xfId="0" applyFont="1" applyBorder="1" applyAlignment="1">
      <alignment wrapText="1"/>
    </xf>
    <xf numFmtId="0" fontId="4" fillId="0" borderId="38" xfId="0" applyFont="1" applyBorder="1" applyAlignment="1">
      <alignment wrapText="1"/>
    </xf>
    <xf numFmtId="0" fontId="4" fillId="0" borderId="32" xfId="0" applyFont="1" applyBorder="1" applyAlignment="1">
      <alignment wrapText="1"/>
    </xf>
    <xf numFmtId="0" fontId="2" fillId="2" borderId="26" xfId="0" applyFont="1" applyFill="1" applyBorder="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17" fillId="2" borderId="26" xfId="0" applyFont="1" applyFill="1" applyBorder="1" applyAlignment="1">
      <alignment wrapText="1"/>
    </xf>
    <xf numFmtId="0" fontId="29" fillId="0" borderId="27" xfId="0" applyFont="1" applyBorder="1" applyAlignment="1">
      <alignment wrapText="1"/>
    </xf>
    <xf numFmtId="0" fontId="29" fillId="0" borderId="28" xfId="0" applyFont="1" applyBorder="1" applyAlignment="1">
      <alignment wrapText="1"/>
    </xf>
    <xf numFmtId="0" fontId="0" fillId="0" borderId="27" xfId="0" applyBorder="1"/>
    <xf numFmtId="0" fontId="0" fillId="0" borderId="28" xfId="0" applyBorder="1"/>
    <xf numFmtId="0" fontId="2" fillId="2" borderId="39" xfId="0" applyFont="1" applyFill="1" applyBorder="1"/>
    <xf numFmtId="0" fontId="0" fillId="0" borderId="40" xfId="0" applyBorder="1"/>
    <xf numFmtId="0" fontId="0" fillId="0" borderId="41" xfId="0" applyBorder="1"/>
    <xf numFmtId="0" fontId="4" fillId="4" borderId="27" xfId="0" applyFont="1" applyFill="1" applyBorder="1"/>
    <xf numFmtId="0" fontId="2" fillId="2" borderId="26" xfId="0" applyFont="1" applyFill="1" applyBorder="1" applyAlignment="1">
      <alignment wrapText="1"/>
    </xf>
    <xf numFmtId="0" fontId="4" fillId="4" borderId="27" xfId="0" applyFont="1" applyFill="1" applyBorder="1" applyAlignment="1">
      <alignment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4" fillId="0" borderId="4" xfId="0" applyFont="1" applyBorder="1" applyAlignment="1">
      <alignment horizontal="left" vertical="center" wrapText="1"/>
    </xf>
    <xf numFmtId="0" fontId="4" fillId="0" borderId="13" xfId="0" applyFont="1" applyBorder="1" applyAlignment="1">
      <alignment horizontal="left" vertical="center" wrapText="1"/>
    </xf>
    <xf numFmtId="0" fontId="4" fillId="0" borderId="16" xfId="0" applyFont="1" applyBorder="1" applyAlignment="1">
      <alignment horizontal="left" vertical="center" wrapText="1"/>
    </xf>
    <xf numFmtId="0" fontId="4" fillId="0" borderId="4" xfId="0" applyFont="1" applyBorder="1" applyAlignment="1">
      <alignment horizontal="left" vertical="center"/>
    </xf>
    <xf numFmtId="0" fontId="4" fillId="0" borderId="13" xfId="0" applyFont="1" applyBorder="1" applyAlignment="1">
      <alignment horizontal="left" vertical="center"/>
    </xf>
    <xf numFmtId="0" fontId="4" fillId="0" borderId="19" xfId="0" applyFont="1" applyBorder="1" applyAlignment="1">
      <alignment horizontal="left" vertical="center" wrapText="1"/>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4" fillId="0" borderId="10" xfId="0" applyFont="1" applyBorder="1" applyAlignment="1">
      <alignment horizontal="left" vertical="center" wrapText="1"/>
    </xf>
    <xf numFmtId="0" fontId="4" fillId="0" borderId="6" xfId="0" applyFont="1" applyBorder="1" applyAlignment="1">
      <alignment horizontal="left" vertical="center"/>
    </xf>
    <xf numFmtId="0" fontId="0" fillId="5" borderId="0" xfId="0" applyFill="1" applyAlignment="1">
      <alignment horizontal="left"/>
    </xf>
    <xf numFmtId="0" fontId="0" fillId="6" borderId="0" xfId="0" applyFill="1" applyAlignment="1">
      <alignment horizontal="lef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Interest rates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150"/>
        <c:axId val="776417199"/>
        <c:axId val="367880159"/>
      </c:barChart>
      <c:catAx>
        <c:axId val="776417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80159"/>
        <c:crosses val="autoZero"/>
        <c:auto val="1"/>
        <c:lblAlgn val="ctr"/>
        <c:lblOffset val="100"/>
        <c:noMultiLvlLbl val="0"/>
      </c:catAx>
      <c:valAx>
        <c:axId val="36788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17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Reserves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Sheet5!$G$3:$G$20</c:f>
              <c:numCache>
                <c:formatCode>_(* #,##0_);_(* \(#,##0\);_(* "-"??_);_(@_)</c:formatCode>
                <c:ptCount val="18"/>
                <c:pt idx="0">
                  <c:v>-2214.289185925637</c:v>
                </c:pt>
                <c:pt idx="1">
                  <c:v>-2219.7668745343944</c:v>
                </c:pt>
                <c:pt idx="2">
                  <c:v>-2206.388658711845</c:v>
                </c:pt>
                <c:pt idx="3">
                  <c:v>-2215.8938946680992</c:v>
                </c:pt>
                <c:pt idx="4">
                  <c:v>-2147.1048972751669</c:v>
                </c:pt>
                <c:pt idx="5">
                  <c:v>-2159.03474407458</c:v>
                </c:pt>
                <c:pt idx="6">
                  <c:v>-2161.9954357850147</c:v>
                </c:pt>
                <c:pt idx="7">
                  <c:v>-2215.119483112906</c:v>
                </c:pt>
                <c:pt idx="8">
                  <c:v>-2187.8580654702182</c:v>
                </c:pt>
                <c:pt idx="9">
                  <c:v>-2178.1429388060806</c:v>
                </c:pt>
                <c:pt idx="10">
                  <c:v>-2217.7628803845155</c:v>
                </c:pt>
                <c:pt idx="11">
                  <c:v>-2200.452391354992</c:v>
                </c:pt>
                <c:pt idx="12">
                  <c:v>-2220.0525495093943</c:v>
                </c:pt>
                <c:pt idx="13">
                  <c:v>-2186.0534323454376</c:v>
                </c:pt>
                <c:pt idx="14">
                  <c:v>-2192.228133722816</c:v>
                </c:pt>
                <c:pt idx="15">
                  <c:v>-2217.2476090878254</c:v>
                </c:pt>
                <c:pt idx="16">
                  <c:v>-2166.6969799697081</c:v>
                </c:pt>
                <c:pt idx="17">
                  <c:v>-2175.9189006178049</c:v>
                </c:pt>
              </c:numCache>
            </c:numRef>
          </c:cat>
          <c:val>
            <c:numRef>
              <c:f>Sheet5!$K$3:$K$20</c:f>
              <c:numCache>
                <c:formatCode>General</c:formatCode>
                <c:ptCount val="18"/>
                <c:pt idx="0">
                  <c:v>0.81456713902709421</c:v>
                </c:pt>
                <c:pt idx="1">
                  <c:v>0.98042503830106831</c:v>
                </c:pt>
                <c:pt idx="2">
                  <c:v>0.61865134986017278</c:v>
                </c:pt>
                <c:pt idx="3">
                  <c:v>0.86041012054129562</c:v>
                </c:pt>
                <c:pt idx="4">
                  <c:v>5.8532877867235822E-2</c:v>
                </c:pt>
                <c:pt idx="5">
                  <c:v>9.8058717461647849E-2</c:v>
                </c:pt>
                <c:pt idx="6">
                  <c:v>0.1110960510863821</c:v>
                </c:pt>
                <c:pt idx="7">
                  <c:v>0.83801327301571504</c:v>
                </c:pt>
                <c:pt idx="8">
                  <c:v>0.31296227875124683</c:v>
                </c:pt>
                <c:pt idx="9">
                  <c:v>0.21455594067119688</c:v>
                </c:pt>
                <c:pt idx="10">
                  <c:v>0.91662517105619723</c:v>
                </c:pt>
                <c:pt idx="11">
                  <c:v>0.50007452466497715</c:v>
                </c:pt>
                <c:pt idx="12">
                  <c:v>0.98982669430081716</c:v>
                </c:pt>
                <c:pt idx="13">
                  <c:v>0.29207471998458756</c:v>
                </c:pt>
                <c:pt idx="14">
                  <c:v>0.36920752339472007</c:v>
                </c:pt>
                <c:pt idx="15">
                  <c:v>0.90081648619812438</c:v>
                </c:pt>
                <c:pt idx="16">
                  <c:v>0.13509546774494208</c:v>
                </c:pt>
                <c:pt idx="17">
                  <c:v>0.19640787168096363</c:v>
                </c:pt>
              </c:numCache>
            </c:numRef>
          </c:val>
          <c:extLst>
            <c:ext xmlns:c16="http://schemas.microsoft.com/office/drawing/2014/chart" uri="{C3380CC4-5D6E-409C-BE32-E72D297353CC}">
              <c16:uniqueId val="{00000000-82E6-5A42-A601-54C1562B12AD}"/>
            </c:ext>
          </c:extLst>
        </c:ser>
        <c:dLbls>
          <c:showLegendKey val="0"/>
          <c:showVal val="0"/>
          <c:showCatName val="0"/>
          <c:showSerName val="0"/>
          <c:showPercent val="0"/>
          <c:showBubbleSize val="0"/>
        </c:dLbls>
        <c:gapWidth val="150"/>
        <c:axId val="776417199"/>
        <c:axId val="367880159"/>
      </c:barChart>
      <c:catAx>
        <c:axId val="776417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80159"/>
        <c:crosses val="autoZero"/>
        <c:auto val="1"/>
        <c:lblAlgn val="ctr"/>
        <c:lblOffset val="100"/>
        <c:noMultiLvlLbl val="0"/>
      </c:catAx>
      <c:valAx>
        <c:axId val="36788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17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2</xdr:col>
      <xdr:colOff>622300</xdr:colOff>
      <xdr:row>45</xdr:row>
      <xdr:rowOff>12700</xdr:rowOff>
    </xdr:to>
    <xdr:pic>
      <xdr:nvPicPr>
        <xdr:cNvPr id="2" name="Picture 1" descr="page8image2443933008">
          <a:extLst>
            <a:ext uri="{FF2B5EF4-FFF2-40B4-BE49-F238E27FC236}">
              <a16:creationId xmlns:a16="http://schemas.microsoft.com/office/drawing/2014/main" id="{3140BD4D-C40A-F6F1-14B7-7F2334D0D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0" y="9144000"/>
          <a:ext cx="14478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xdr:row>
      <xdr:rowOff>0</xdr:rowOff>
    </xdr:from>
    <xdr:to>
      <xdr:col>2</xdr:col>
      <xdr:colOff>88900</xdr:colOff>
      <xdr:row>46</xdr:row>
      <xdr:rowOff>0</xdr:rowOff>
    </xdr:to>
    <xdr:pic>
      <xdr:nvPicPr>
        <xdr:cNvPr id="3" name="Picture 2" descr="page8image2443933312">
          <a:extLst>
            <a:ext uri="{FF2B5EF4-FFF2-40B4-BE49-F238E27FC236}">
              <a16:creationId xmlns:a16="http://schemas.microsoft.com/office/drawing/2014/main" id="{66B224C2-02E2-11F2-1AE7-5E0648C34D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500" y="9347200"/>
          <a:ext cx="9144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635000</xdr:colOff>
      <xdr:row>2</xdr:row>
      <xdr:rowOff>12700</xdr:rowOff>
    </xdr:from>
    <xdr:to>
      <xdr:col>21</xdr:col>
      <xdr:colOff>342900</xdr:colOff>
      <xdr:row>20</xdr:row>
      <xdr:rowOff>50800</xdr:rowOff>
    </xdr:to>
    <xdr:graphicFrame macro="">
      <xdr:nvGraphicFramePr>
        <xdr:cNvPr id="3" name="Chart 2">
          <a:extLst>
            <a:ext uri="{FF2B5EF4-FFF2-40B4-BE49-F238E27FC236}">
              <a16:creationId xmlns:a16="http://schemas.microsoft.com/office/drawing/2014/main" id="{385C5AE1-787F-BA27-F788-E08A4376A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23</xdr:row>
      <xdr:rowOff>0</xdr:rowOff>
    </xdr:from>
    <xdr:to>
      <xdr:col>21</xdr:col>
      <xdr:colOff>533400</xdr:colOff>
      <xdr:row>41</xdr:row>
      <xdr:rowOff>38100</xdr:rowOff>
    </xdr:to>
    <xdr:graphicFrame macro="">
      <xdr:nvGraphicFramePr>
        <xdr:cNvPr id="5" name="Chart 4">
          <a:extLst>
            <a:ext uri="{FF2B5EF4-FFF2-40B4-BE49-F238E27FC236}">
              <a16:creationId xmlns:a16="http://schemas.microsoft.com/office/drawing/2014/main" id="{0EFAF7BC-276E-6F4D-B586-2FAF5C3D7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FDA69-86C3-E84B-BDE6-D01E7B8DFB23}">
  <dimension ref="C1:M18"/>
  <sheetViews>
    <sheetView showGridLines="0" tabSelected="1" topLeftCell="E1" zoomScale="125" zoomScaleNormal="178" workbookViewId="0">
      <selection activeCell="G7" sqref="G7"/>
    </sheetView>
  </sheetViews>
  <sheetFormatPr baseColWidth="10" defaultRowHeight="16"/>
  <cols>
    <col min="3" max="3" width="38.33203125" style="1" bestFit="1" customWidth="1"/>
    <col min="4" max="4" width="53" style="2" customWidth="1"/>
    <col min="5" max="5" width="27" style="2" customWidth="1"/>
    <col min="6" max="6" width="8" customWidth="1"/>
    <col min="7" max="7" width="33.1640625" customWidth="1"/>
    <col min="8" max="8" width="5.6640625" customWidth="1"/>
    <col min="9" max="9" width="33.1640625" customWidth="1"/>
    <col min="10" max="10" width="4.33203125" customWidth="1"/>
    <col min="11" max="11" width="33.1640625" customWidth="1"/>
    <col min="12" max="12" width="8.6640625" customWidth="1"/>
    <col min="13" max="13" width="56.1640625" customWidth="1"/>
  </cols>
  <sheetData>
    <row r="1" spans="3:13" ht="17" thickBot="1">
      <c r="K1" s="41"/>
    </row>
    <row r="2" spans="3:13" ht="17">
      <c r="C2" s="6" t="s">
        <v>19</v>
      </c>
      <c r="D2" s="49" t="s">
        <v>20</v>
      </c>
      <c r="E2" s="52" t="s">
        <v>173</v>
      </c>
      <c r="G2" s="42" t="s">
        <v>123</v>
      </c>
      <c r="I2" s="42" t="s">
        <v>134</v>
      </c>
      <c r="K2" s="42" t="s">
        <v>148</v>
      </c>
      <c r="M2" s="42" t="s">
        <v>157</v>
      </c>
    </row>
    <row r="3" spans="3:13" ht="51">
      <c r="C3" s="7" t="s">
        <v>21</v>
      </c>
      <c r="D3" s="50" t="s">
        <v>34</v>
      </c>
      <c r="E3" s="53" t="s">
        <v>174</v>
      </c>
      <c r="G3" s="43" t="s">
        <v>124</v>
      </c>
      <c r="I3" s="43" t="s">
        <v>135</v>
      </c>
      <c r="K3" s="43" t="s">
        <v>149</v>
      </c>
      <c r="M3" s="43" t="s">
        <v>158</v>
      </c>
    </row>
    <row r="4" spans="3:13" ht="34">
      <c r="C4" s="7" t="s">
        <v>22</v>
      </c>
      <c r="D4" s="50" t="s">
        <v>35</v>
      </c>
      <c r="E4" s="53" t="s">
        <v>175</v>
      </c>
      <c r="G4" s="43" t="s">
        <v>125</v>
      </c>
      <c r="I4" s="43" t="s">
        <v>136</v>
      </c>
      <c r="K4" s="43" t="s">
        <v>150</v>
      </c>
      <c r="M4" s="43" t="s">
        <v>159</v>
      </c>
    </row>
    <row r="5" spans="3:13" ht="51">
      <c r="C5" s="7" t="s">
        <v>23</v>
      </c>
      <c r="D5" s="50" t="s">
        <v>36</v>
      </c>
      <c r="E5" s="53" t="s">
        <v>176</v>
      </c>
      <c r="G5" s="43" t="s">
        <v>126</v>
      </c>
      <c r="I5" s="43" t="s">
        <v>137</v>
      </c>
      <c r="K5" s="43" t="s">
        <v>151</v>
      </c>
      <c r="M5" s="43" t="s">
        <v>160</v>
      </c>
    </row>
    <row r="6" spans="3:13" ht="51">
      <c r="C6" s="7" t="s">
        <v>24</v>
      </c>
      <c r="D6" s="50" t="s">
        <v>37</v>
      </c>
      <c r="E6" s="92" t="s">
        <v>185</v>
      </c>
      <c r="G6" s="43" t="s">
        <v>127</v>
      </c>
      <c r="I6" s="43" t="s">
        <v>138</v>
      </c>
      <c r="K6" s="43" t="s">
        <v>152</v>
      </c>
      <c r="M6" s="43" t="s">
        <v>161</v>
      </c>
    </row>
    <row r="7" spans="3:13" ht="35" thickBot="1">
      <c r="C7" s="7" t="s">
        <v>25</v>
      </c>
      <c r="D7" s="50" t="s">
        <v>38</v>
      </c>
      <c r="E7" s="93"/>
      <c r="G7" s="44" t="s">
        <v>128</v>
      </c>
      <c r="I7" s="43" t="s">
        <v>139</v>
      </c>
      <c r="K7" s="43" t="s">
        <v>153</v>
      </c>
      <c r="M7" s="43" t="s">
        <v>162</v>
      </c>
    </row>
    <row r="8" spans="3:13" ht="86" thickBot="1">
      <c r="C8" s="7" t="s">
        <v>26</v>
      </c>
      <c r="D8" s="50" t="s">
        <v>39</v>
      </c>
      <c r="E8" s="55" t="s">
        <v>186</v>
      </c>
      <c r="I8" s="43" t="s">
        <v>140</v>
      </c>
      <c r="K8" s="43" t="s">
        <v>154</v>
      </c>
      <c r="M8" s="43" t="s">
        <v>163</v>
      </c>
    </row>
    <row r="9" spans="3:13" ht="35" thickBot="1">
      <c r="C9" s="7" t="s">
        <v>27</v>
      </c>
      <c r="D9" s="50" t="s">
        <v>179</v>
      </c>
      <c r="E9" s="53" t="s">
        <v>180</v>
      </c>
      <c r="G9" s="42" t="s">
        <v>129</v>
      </c>
      <c r="I9" s="43" t="s">
        <v>141</v>
      </c>
      <c r="K9" s="43" t="s">
        <v>155</v>
      </c>
      <c r="M9" s="44" t="s">
        <v>164</v>
      </c>
    </row>
    <row r="10" spans="3:13" ht="69" thickBot="1">
      <c r="C10" s="7" t="s">
        <v>28</v>
      </c>
      <c r="D10" s="50" t="s">
        <v>40</v>
      </c>
      <c r="E10" s="53" t="s">
        <v>181</v>
      </c>
      <c r="G10" s="43" t="s">
        <v>130</v>
      </c>
      <c r="I10" s="43" t="s">
        <v>142</v>
      </c>
      <c r="K10" s="67" t="s">
        <v>156</v>
      </c>
      <c r="M10" s="48" t="s">
        <v>172</v>
      </c>
    </row>
    <row r="11" spans="3:13" ht="51">
      <c r="C11" s="7" t="s">
        <v>33</v>
      </c>
      <c r="D11" s="50" t="s">
        <v>41</v>
      </c>
      <c r="E11" s="53" t="s">
        <v>184</v>
      </c>
      <c r="G11" s="43" t="s">
        <v>133</v>
      </c>
      <c r="I11" s="43" t="s">
        <v>143</v>
      </c>
      <c r="M11" s="42" t="s">
        <v>165</v>
      </c>
    </row>
    <row r="12" spans="3:13" ht="34">
      <c r="C12" s="7" t="s">
        <v>31</v>
      </c>
      <c r="D12" s="50" t="s">
        <v>42</v>
      </c>
      <c r="E12" s="53" t="s">
        <v>177</v>
      </c>
      <c r="G12" s="43" t="s">
        <v>131</v>
      </c>
      <c r="I12" s="43" t="s">
        <v>144</v>
      </c>
      <c r="M12" s="43" t="s">
        <v>166</v>
      </c>
    </row>
    <row r="13" spans="3:13" ht="86" thickBot="1">
      <c r="C13" s="7" t="s">
        <v>32</v>
      </c>
      <c r="D13" s="50" t="s">
        <v>43</v>
      </c>
      <c r="E13" s="53" t="s">
        <v>178</v>
      </c>
      <c r="G13" s="44" t="s">
        <v>132</v>
      </c>
      <c r="I13" s="43" t="s">
        <v>145</v>
      </c>
      <c r="M13" s="43" t="s">
        <v>143</v>
      </c>
    </row>
    <row r="14" spans="3:13" ht="17">
      <c r="C14" s="7" t="s">
        <v>30</v>
      </c>
      <c r="D14" s="50" t="s">
        <v>44</v>
      </c>
      <c r="E14" s="53"/>
      <c r="I14" s="43" t="s">
        <v>146</v>
      </c>
      <c r="M14" s="43" t="s">
        <v>167</v>
      </c>
    </row>
    <row r="15" spans="3:13" ht="35" thickBot="1">
      <c r="C15" s="7" t="s">
        <v>29</v>
      </c>
      <c r="D15" s="50" t="s">
        <v>45</v>
      </c>
      <c r="E15" s="53"/>
      <c r="I15" s="44" t="s">
        <v>147</v>
      </c>
      <c r="M15" s="43" t="s">
        <v>168</v>
      </c>
    </row>
    <row r="16" spans="3:13" ht="69" thickBot="1">
      <c r="C16" s="8" t="s">
        <v>46</v>
      </c>
      <c r="D16" s="51" t="s">
        <v>183</v>
      </c>
      <c r="E16" s="54" t="s">
        <v>182</v>
      </c>
      <c r="M16" s="43" t="s">
        <v>169</v>
      </c>
    </row>
    <row r="17" spans="13:13" ht="17">
      <c r="M17" s="43" t="s">
        <v>170</v>
      </c>
    </row>
    <row r="18" spans="13:13" ht="18" thickBot="1">
      <c r="M18" s="44" t="s">
        <v>171</v>
      </c>
    </row>
  </sheetData>
  <mergeCells count="1">
    <mergeCell ref="E6: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A3AD-326A-C347-8128-F2093B359570}">
  <dimension ref="C1:Q15"/>
  <sheetViews>
    <sheetView showGridLines="0" zoomScale="75" zoomScaleNormal="178" workbookViewId="0">
      <selection activeCell="K21" sqref="K21"/>
    </sheetView>
  </sheetViews>
  <sheetFormatPr baseColWidth="10" defaultRowHeight="16"/>
  <cols>
    <col min="3" max="3" width="38.33203125" style="1" bestFit="1" customWidth="1"/>
    <col min="4" max="4" width="53" style="2" customWidth="1"/>
    <col min="5" max="5" width="27" style="2" customWidth="1"/>
    <col min="6" max="6" width="8" customWidth="1"/>
    <col min="7" max="7" width="33.1640625" customWidth="1"/>
    <col min="8" max="8" width="5.6640625" customWidth="1"/>
    <col min="9" max="9" width="33.1640625" customWidth="1"/>
    <col min="10" max="10" width="4.33203125" customWidth="1"/>
    <col min="11" max="11" width="33.1640625" customWidth="1"/>
    <col min="12" max="12" width="8.6640625" customWidth="1"/>
    <col min="13" max="13" width="56.1640625" customWidth="1"/>
    <col min="15" max="15" width="34.33203125" customWidth="1"/>
    <col min="17" max="17" width="33" customWidth="1"/>
  </cols>
  <sheetData>
    <row r="1" spans="3:17" ht="17" thickBot="1">
      <c r="K1" s="41"/>
    </row>
    <row r="2" spans="3:17" ht="18" thickBot="1">
      <c r="C2" s="6" t="s">
        <v>19</v>
      </c>
      <c r="D2" s="49" t="s">
        <v>20</v>
      </c>
      <c r="E2" s="52" t="s">
        <v>173</v>
      </c>
      <c r="G2" s="42" t="s">
        <v>123</v>
      </c>
      <c r="I2" s="42" t="s">
        <v>134</v>
      </c>
      <c r="K2" s="42" t="s">
        <v>148</v>
      </c>
      <c r="M2" s="45" t="s">
        <v>157</v>
      </c>
      <c r="O2" s="42" t="s">
        <v>223</v>
      </c>
      <c r="Q2" s="52" t="s">
        <v>228</v>
      </c>
    </row>
    <row r="3" spans="3:17" ht="68">
      <c r="C3" s="7" t="s">
        <v>198</v>
      </c>
      <c r="D3" s="50" t="s">
        <v>234</v>
      </c>
      <c r="E3" s="53" t="s">
        <v>235</v>
      </c>
      <c r="G3" s="43" t="s">
        <v>189</v>
      </c>
      <c r="I3" s="43" t="s">
        <v>135</v>
      </c>
      <c r="K3" s="43" t="s">
        <v>210</v>
      </c>
      <c r="M3" s="46" t="s">
        <v>213</v>
      </c>
      <c r="O3" s="56" t="s">
        <v>224</v>
      </c>
      <c r="Q3" s="43" t="s">
        <v>229</v>
      </c>
    </row>
    <row r="4" spans="3:17" ht="51">
      <c r="C4" s="7" t="s">
        <v>28</v>
      </c>
      <c r="D4" s="50" t="s">
        <v>199</v>
      </c>
      <c r="E4" s="53" t="s">
        <v>181</v>
      </c>
      <c r="G4" s="43" t="s">
        <v>188</v>
      </c>
      <c r="I4" s="43" t="s">
        <v>136</v>
      </c>
      <c r="K4" s="43" t="s">
        <v>515</v>
      </c>
      <c r="M4" s="43" t="s">
        <v>214</v>
      </c>
      <c r="O4" s="56" t="s">
        <v>225</v>
      </c>
      <c r="Q4" s="43" t="s">
        <v>230</v>
      </c>
    </row>
    <row r="5" spans="3:17" ht="51">
      <c r="C5" s="7" t="s">
        <v>200</v>
      </c>
      <c r="D5" s="50" t="s">
        <v>201</v>
      </c>
      <c r="E5" s="53"/>
      <c r="G5" s="43" t="s">
        <v>187</v>
      </c>
      <c r="I5" s="43" t="s">
        <v>137</v>
      </c>
      <c r="K5" s="43" t="s">
        <v>211</v>
      </c>
      <c r="M5" s="43" t="s">
        <v>215</v>
      </c>
      <c r="O5" s="56" t="s">
        <v>226</v>
      </c>
      <c r="Q5" s="43" t="s">
        <v>231</v>
      </c>
    </row>
    <row r="6" spans="3:17" ht="103" thickBot="1">
      <c r="C6" s="13" t="s">
        <v>236</v>
      </c>
      <c r="D6" s="50" t="s">
        <v>202</v>
      </c>
      <c r="E6" s="53" t="s">
        <v>237</v>
      </c>
      <c r="G6" s="56" t="s">
        <v>190</v>
      </c>
      <c r="I6" s="43" t="s">
        <v>138</v>
      </c>
      <c r="K6" s="43" t="s">
        <v>212</v>
      </c>
      <c r="M6" s="43" t="s">
        <v>216</v>
      </c>
      <c r="O6" s="59" t="s">
        <v>227</v>
      </c>
      <c r="Q6" s="43" t="s">
        <v>232</v>
      </c>
    </row>
    <row r="7" spans="3:17" ht="53" thickTop="1" thickBot="1">
      <c r="C7" s="7"/>
      <c r="D7" s="50"/>
      <c r="E7" s="53"/>
      <c r="G7" s="44" t="s">
        <v>191</v>
      </c>
      <c r="I7" s="43" t="s">
        <v>139</v>
      </c>
      <c r="K7" s="43"/>
      <c r="M7" s="43" t="s">
        <v>217</v>
      </c>
      <c r="Q7" s="44" t="s">
        <v>233</v>
      </c>
    </row>
    <row r="8" spans="3:17" ht="18" thickBot="1">
      <c r="C8" s="7"/>
      <c r="D8" s="50"/>
      <c r="E8" s="53"/>
      <c r="I8" s="43" t="s">
        <v>140</v>
      </c>
      <c r="K8" s="43"/>
      <c r="M8" s="43" t="s">
        <v>218</v>
      </c>
      <c r="Q8" s="41"/>
    </row>
    <row r="9" spans="3:17" ht="35" thickBot="1">
      <c r="C9" s="7"/>
      <c r="D9" s="50"/>
      <c r="E9" s="53"/>
      <c r="G9" s="45" t="s">
        <v>192</v>
      </c>
      <c r="I9" s="43" t="s">
        <v>141</v>
      </c>
      <c r="K9" s="43"/>
      <c r="M9" s="43" t="s">
        <v>219</v>
      </c>
      <c r="Q9" s="41"/>
    </row>
    <row r="10" spans="3:17" ht="35" thickBot="1">
      <c r="C10" s="8"/>
      <c r="D10" s="51"/>
      <c r="E10" s="54"/>
      <c r="G10" s="46" t="s">
        <v>193</v>
      </c>
      <c r="I10" s="43" t="s">
        <v>142</v>
      </c>
      <c r="K10" s="47"/>
      <c r="M10" s="43" t="s">
        <v>220</v>
      </c>
      <c r="Q10" s="41"/>
    </row>
    <row r="11" spans="3:17" ht="35" thickBot="1">
      <c r="G11" s="43" t="s">
        <v>194</v>
      </c>
      <c r="I11" s="43" t="s">
        <v>143</v>
      </c>
      <c r="M11" s="43" t="s">
        <v>221</v>
      </c>
      <c r="Q11" s="41"/>
    </row>
    <row r="12" spans="3:17" ht="35" thickBot="1">
      <c r="C12" s="6" t="s">
        <v>203</v>
      </c>
      <c r="D12" s="12" t="s">
        <v>207</v>
      </c>
      <c r="G12" s="56" t="s">
        <v>195</v>
      </c>
      <c r="I12" s="43" t="s">
        <v>144</v>
      </c>
      <c r="K12" s="48"/>
      <c r="M12" s="44" t="s">
        <v>222</v>
      </c>
      <c r="Q12" s="41"/>
    </row>
    <row r="13" spans="3:17" ht="119">
      <c r="C13" s="57" t="s">
        <v>204</v>
      </c>
      <c r="D13" s="4" t="s">
        <v>208</v>
      </c>
      <c r="G13" s="56" t="s">
        <v>196</v>
      </c>
      <c r="I13" s="43" t="s">
        <v>145</v>
      </c>
      <c r="Q13" s="41"/>
    </row>
    <row r="14" spans="3:17" ht="86" thickBot="1">
      <c r="C14" s="57" t="s">
        <v>205</v>
      </c>
      <c r="D14" s="4" t="s">
        <v>209</v>
      </c>
      <c r="G14" s="47" t="s">
        <v>197</v>
      </c>
      <c r="I14" s="43" t="s">
        <v>146</v>
      </c>
    </row>
    <row r="15" spans="3:17" ht="35" thickBot="1">
      <c r="C15" s="58" t="s">
        <v>206</v>
      </c>
      <c r="D15" s="5"/>
      <c r="I15" s="44" t="s">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A162-06DF-5340-871F-14760CC2116A}">
  <dimension ref="C6:F22"/>
  <sheetViews>
    <sheetView showGridLines="0" zoomScale="115" workbookViewId="0">
      <selection activeCell="G15" sqref="G15"/>
    </sheetView>
  </sheetViews>
  <sheetFormatPr baseColWidth="10" defaultRowHeight="16"/>
  <cols>
    <col min="3" max="3" width="31" customWidth="1"/>
    <col min="4" max="4" width="58.5" customWidth="1"/>
    <col min="5" max="5" width="33.33203125" customWidth="1"/>
    <col min="6" max="6" width="48.83203125" customWidth="1"/>
  </cols>
  <sheetData>
    <row r="6" spans="3:6" ht="17" thickBot="1"/>
    <row r="7" spans="3:6">
      <c r="C7" s="14" t="s">
        <v>62</v>
      </c>
      <c r="D7" s="15" t="s">
        <v>63</v>
      </c>
      <c r="E7" s="15" t="s">
        <v>64</v>
      </c>
      <c r="F7" s="15" t="s">
        <v>265</v>
      </c>
    </row>
    <row r="8" spans="3:6" ht="119">
      <c r="C8" s="94" t="s">
        <v>121</v>
      </c>
      <c r="D8" s="16" t="s">
        <v>268</v>
      </c>
      <c r="E8" s="68" t="s">
        <v>65</v>
      </c>
      <c r="F8" s="21" t="s">
        <v>266</v>
      </c>
    </row>
    <row r="9" spans="3:6" ht="51">
      <c r="C9" s="94"/>
      <c r="D9" s="16" t="s">
        <v>270</v>
      </c>
      <c r="E9" s="68" t="s">
        <v>66</v>
      </c>
      <c r="F9" s="21"/>
    </row>
    <row r="10" spans="3:6" ht="68">
      <c r="C10" s="94"/>
      <c r="D10" s="16" t="s">
        <v>269</v>
      </c>
      <c r="E10" s="68" t="s">
        <v>67</v>
      </c>
      <c r="F10" s="21"/>
    </row>
    <row r="11" spans="3:6" ht="68">
      <c r="C11" s="94"/>
      <c r="D11" s="16" t="s">
        <v>271</v>
      </c>
      <c r="E11" s="68" t="s">
        <v>68</v>
      </c>
      <c r="F11" s="21"/>
    </row>
    <row r="12" spans="3:6" ht="69" thickBot="1">
      <c r="C12" s="95"/>
      <c r="D12" s="17" t="s">
        <v>272</v>
      </c>
      <c r="E12" s="69" t="s">
        <v>260</v>
      </c>
      <c r="F12" s="22"/>
    </row>
    <row r="13" spans="3:6" ht="120" thickTop="1">
      <c r="C13" s="96" t="s">
        <v>120</v>
      </c>
      <c r="D13" s="18" t="s">
        <v>274</v>
      </c>
      <c r="E13" s="70" t="s">
        <v>69</v>
      </c>
      <c r="F13" s="23" t="s">
        <v>267</v>
      </c>
    </row>
    <row r="14" spans="3:6" ht="68" customHeight="1">
      <c r="C14" s="97"/>
      <c r="D14" s="16" t="s">
        <v>273</v>
      </c>
      <c r="E14" s="68" t="s">
        <v>261</v>
      </c>
      <c r="F14" s="21"/>
    </row>
    <row r="15" spans="3:6" ht="68" customHeight="1" thickBot="1">
      <c r="C15" s="98"/>
      <c r="D15" s="17" t="s">
        <v>275</v>
      </c>
      <c r="E15" s="69" t="s">
        <v>262</v>
      </c>
      <c r="F15" s="22"/>
    </row>
    <row r="16" spans="3:6" ht="36" customHeight="1" thickTop="1">
      <c r="C16" s="99" t="s">
        <v>119</v>
      </c>
      <c r="D16" s="18" t="s">
        <v>276</v>
      </c>
      <c r="E16" s="70" t="s">
        <v>70</v>
      </c>
      <c r="F16" s="23"/>
    </row>
    <row r="17" spans="3:6" ht="51" customHeight="1">
      <c r="C17" s="100"/>
      <c r="D17" s="16" t="s">
        <v>277</v>
      </c>
      <c r="E17" s="68" t="s">
        <v>263</v>
      </c>
      <c r="F17" s="21"/>
    </row>
    <row r="18" spans="3:6" ht="69" customHeight="1" thickBot="1">
      <c r="C18" s="101"/>
      <c r="D18" s="17" t="s">
        <v>278</v>
      </c>
      <c r="E18" s="69" t="s">
        <v>264</v>
      </c>
      <c r="F18" s="22"/>
    </row>
    <row r="19" spans="3:6" ht="36" customHeight="1" thickTop="1">
      <c r="C19" s="102" t="s">
        <v>122</v>
      </c>
      <c r="D19" s="19" t="s">
        <v>279</v>
      </c>
      <c r="E19" s="71" t="s">
        <v>71</v>
      </c>
      <c r="F19" s="24"/>
    </row>
    <row r="20" spans="3:6" ht="34">
      <c r="C20" s="97"/>
      <c r="D20" s="16" t="s">
        <v>280</v>
      </c>
      <c r="E20" s="68" t="s">
        <v>72</v>
      </c>
      <c r="F20" s="21"/>
    </row>
    <row r="21" spans="3:6" ht="40" customHeight="1" thickBot="1">
      <c r="C21" s="103"/>
      <c r="D21" s="20" t="s">
        <v>61</v>
      </c>
      <c r="E21" s="72" t="s">
        <v>73</v>
      </c>
      <c r="F21" s="25"/>
    </row>
    <row r="22" spans="3:6">
      <c r="F22" s="9"/>
    </row>
  </sheetData>
  <mergeCells count="4">
    <mergeCell ref="C8:C12"/>
    <mergeCell ref="C13:C15"/>
    <mergeCell ref="C16:C18"/>
    <mergeCell ref="C19:C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357B-2FB6-DC44-BC7C-C4A4CBD24300}">
  <dimension ref="C2:T19"/>
  <sheetViews>
    <sheetView showGridLines="0" topLeftCell="F1" zoomScale="111" workbookViewId="0">
      <selection activeCell="E8" sqref="E8"/>
    </sheetView>
  </sheetViews>
  <sheetFormatPr baseColWidth="10" defaultRowHeight="16"/>
  <cols>
    <col min="3" max="3" width="22.83203125" style="2" bestFit="1" customWidth="1"/>
    <col min="4" max="6" width="35" style="2" customWidth="1"/>
    <col min="7" max="7" width="38.6640625" style="2" customWidth="1"/>
    <col min="8" max="8" width="39.33203125" style="2" customWidth="1"/>
    <col min="9" max="9" width="43.5" style="2" customWidth="1"/>
    <col min="10" max="20" width="10.83203125" style="2"/>
  </cols>
  <sheetData>
    <row r="2" spans="3:8" ht="52" thickBot="1">
      <c r="C2" s="36" t="s">
        <v>105</v>
      </c>
      <c r="D2" s="37" t="s">
        <v>108</v>
      </c>
      <c r="E2" s="38" t="s">
        <v>106</v>
      </c>
      <c r="F2" s="38" t="s">
        <v>110</v>
      </c>
      <c r="G2" s="37" t="s">
        <v>107</v>
      </c>
      <c r="H2" s="37" t="s">
        <v>109</v>
      </c>
    </row>
    <row r="3" spans="3:8" ht="17">
      <c r="C3" s="10" t="s">
        <v>5</v>
      </c>
      <c r="D3" s="11" t="s">
        <v>3</v>
      </c>
      <c r="E3" s="11" t="s">
        <v>47</v>
      </c>
      <c r="F3" s="11" t="s">
        <v>12</v>
      </c>
      <c r="G3" s="11" t="s">
        <v>14</v>
      </c>
      <c r="H3" s="12" t="s">
        <v>17</v>
      </c>
    </row>
    <row r="4" spans="3:8" ht="85">
      <c r="C4" s="13" t="s">
        <v>48</v>
      </c>
      <c r="D4" s="3" t="s">
        <v>74</v>
      </c>
      <c r="E4" s="3" t="s">
        <v>49</v>
      </c>
      <c r="F4" s="3" t="s">
        <v>13</v>
      </c>
      <c r="G4" s="3" t="s">
        <v>94</v>
      </c>
      <c r="H4" s="4" t="s">
        <v>97</v>
      </c>
    </row>
    <row r="5" spans="3:8" ht="68">
      <c r="C5" s="13" t="s">
        <v>59</v>
      </c>
      <c r="D5" s="3" t="s">
        <v>75</v>
      </c>
      <c r="E5" s="3" t="s">
        <v>87</v>
      </c>
      <c r="F5" s="3" t="s">
        <v>6</v>
      </c>
      <c r="G5" s="3" t="s">
        <v>50</v>
      </c>
      <c r="H5" s="4" t="s">
        <v>98</v>
      </c>
    </row>
    <row r="6" spans="3:8" ht="60" customHeight="1">
      <c r="C6" s="13" t="s">
        <v>2</v>
      </c>
      <c r="D6" s="3" t="s">
        <v>4</v>
      </c>
      <c r="E6" s="3" t="s">
        <v>10</v>
      </c>
      <c r="F6" s="3" t="s">
        <v>77</v>
      </c>
      <c r="G6" s="3" t="s">
        <v>51</v>
      </c>
      <c r="H6" s="4" t="s">
        <v>18</v>
      </c>
    </row>
    <row r="7" spans="3:8" ht="102">
      <c r="C7" s="13" t="s">
        <v>52</v>
      </c>
      <c r="D7" s="3" t="s">
        <v>7</v>
      </c>
      <c r="E7" s="3" t="s">
        <v>11</v>
      </c>
      <c r="F7" s="3" t="s">
        <v>11</v>
      </c>
      <c r="G7" s="3" t="s">
        <v>53</v>
      </c>
      <c r="H7" s="4" t="s">
        <v>99</v>
      </c>
    </row>
    <row r="8" spans="3:8" ht="60" customHeight="1">
      <c r="C8" s="13" t="s">
        <v>54</v>
      </c>
      <c r="D8" s="3" t="s">
        <v>8</v>
      </c>
      <c r="E8" s="3" t="s">
        <v>78</v>
      </c>
      <c r="F8" s="3" t="s">
        <v>78</v>
      </c>
      <c r="G8" s="3" t="s">
        <v>15</v>
      </c>
      <c r="H8" s="4" t="s">
        <v>55</v>
      </c>
    </row>
    <row r="9" spans="3:8" ht="68">
      <c r="C9" s="13" t="s">
        <v>0</v>
      </c>
      <c r="D9" s="3" t="s">
        <v>9</v>
      </c>
      <c r="E9" s="3" t="s">
        <v>85</v>
      </c>
      <c r="F9" s="3" t="s">
        <v>79</v>
      </c>
      <c r="G9" s="3" t="s">
        <v>95</v>
      </c>
      <c r="H9" s="4" t="s">
        <v>89</v>
      </c>
    </row>
    <row r="10" spans="3:8" ht="60" customHeight="1">
      <c r="C10" s="13" t="s">
        <v>56</v>
      </c>
      <c r="D10" s="3"/>
      <c r="E10" s="3"/>
      <c r="F10" s="3"/>
      <c r="G10" s="3"/>
      <c r="H10" s="4"/>
    </row>
    <row r="11" spans="3:8" ht="119">
      <c r="C11" s="13" t="s">
        <v>60</v>
      </c>
      <c r="D11" s="3" t="s">
        <v>76</v>
      </c>
      <c r="E11" s="3" t="s">
        <v>86</v>
      </c>
      <c r="F11" s="3" t="s">
        <v>16</v>
      </c>
      <c r="G11" s="3" t="s">
        <v>96</v>
      </c>
      <c r="H11" s="4" t="s">
        <v>57</v>
      </c>
    </row>
    <row r="12" spans="3:8" ht="68">
      <c r="C12" s="26" t="s">
        <v>1</v>
      </c>
      <c r="D12" s="27" t="s">
        <v>58</v>
      </c>
      <c r="E12" s="27"/>
      <c r="F12" s="27" t="s">
        <v>82</v>
      </c>
      <c r="G12" s="27" t="s">
        <v>82</v>
      </c>
      <c r="H12" s="28" t="s">
        <v>91</v>
      </c>
    </row>
    <row r="13" spans="3:8" ht="51">
      <c r="C13" s="29" t="s">
        <v>80</v>
      </c>
      <c r="D13" s="30"/>
      <c r="E13" s="30"/>
      <c r="F13" s="30" t="s">
        <v>83</v>
      </c>
      <c r="G13" s="30" t="s">
        <v>92</v>
      </c>
      <c r="H13" s="31" t="s">
        <v>88</v>
      </c>
    </row>
    <row r="14" spans="3:8" ht="60" customHeight="1" thickBot="1">
      <c r="C14" s="32" t="s">
        <v>81</v>
      </c>
      <c r="D14" s="33"/>
      <c r="E14" s="33"/>
      <c r="F14" s="33" t="s">
        <v>84</v>
      </c>
      <c r="G14" s="33" t="s">
        <v>93</v>
      </c>
      <c r="H14" s="34"/>
    </row>
    <row r="15" spans="3:8" ht="60" customHeight="1">
      <c r="H15" s="35" t="s">
        <v>90</v>
      </c>
    </row>
    <row r="16" spans="3:8" ht="60" customHeight="1"/>
    <row r="17" ht="60" customHeight="1"/>
    <row r="18" ht="60" customHeight="1"/>
    <row r="19" ht="60"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A15D-631F-B647-8FD8-438F6127B2D2}">
  <dimension ref="C2:F18"/>
  <sheetViews>
    <sheetView showGridLines="0" zoomScale="90" workbookViewId="0">
      <selection activeCell="E11" sqref="E11"/>
    </sheetView>
  </sheetViews>
  <sheetFormatPr baseColWidth="10" defaultRowHeight="16"/>
  <cols>
    <col min="3" max="3" width="57.1640625" customWidth="1"/>
    <col min="4" max="4" width="43.1640625" customWidth="1"/>
    <col min="6" max="6" width="104.33203125" customWidth="1"/>
  </cols>
  <sheetData>
    <row r="2" spans="3:6" ht="17" thickBot="1"/>
    <row r="3" spans="3:6">
      <c r="C3" s="14" t="s">
        <v>240</v>
      </c>
      <c r="D3" s="62" t="s">
        <v>241</v>
      </c>
      <c r="F3" s="73" t="s">
        <v>281</v>
      </c>
    </row>
    <row r="4" spans="3:6" ht="119">
      <c r="C4" s="61" t="s">
        <v>242</v>
      </c>
      <c r="D4" s="4" t="s">
        <v>258</v>
      </c>
      <c r="F4" s="43" t="s">
        <v>309</v>
      </c>
    </row>
    <row r="5" spans="3:6" ht="187">
      <c r="C5" s="61" t="s">
        <v>238</v>
      </c>
      <c r="D5" s="4"/>
      <c r="F5" s="43" t="s">
        <v>311</v>
      </c>
    </row>
    <row r="6" spans="3:6" ht="68">
      <c r="C6" s="61" t="s">
        <v>243</v>
      </c>
      <c r="D6" s="4" t="s">
        <v>255</v>
      </c>
      <c r="F6" s="43" t="s">
        <v>310</v>
      </c>
    </row>
    <row r="7" spans="3:6" ht="17">
      <c r="C7" s="61" t="s">
        <v>248</v>
      </c>
      <c r="D7" s="4"/>
      <c r="F7" s="43" t="s">
        <v>286</v>
      </c>
    </row>
    <row r="8" spans="3:6" ht="18" thickBot="1">
      <c r="C8" s="61" t="s">
        <v>249</v>
      </c>
      <c r="D8" s="4"/>
      <c r="F8" s="44" t="s">
        <v>285</v>
      </c>
    </row>
    <row r="9" spans="3:6" ht="17">
      <c r="C9" s="61" t="s">
        <v>244</v>
      </c>
      <c r="D9" s="4" t="s">
        <v>257</v>
      </c>
    </row>
    <row r="10" spans="3:6">
      <c r="C10" s="61" t="s">
        <v>245</v>
      </c>
      <c r="D10" s="4"/>
    </row>
    <row r="11" spans="3:6">
      <c r="C11" s="61" t="s">
        <v>239</v>
      </c>
      <c r="D11" s="4"/>
    </row>
    <row r="12" spans="3:6" ht="68">
      <c r="C12" s="61" t="s">
        <v>246</v>
      </c>
      <c r="D12" s="4" t="s">
        <v>259</v>
      </c>
    </row>
    <row r="13" spans="3:6">
      <c r="C13" s="63" t="s">
        <v>247</v>
      </c>
      <c r="D13" s="28"/>
    </row>
    <row r="14" spans="3:6" ht="17">
      <c r="C14" s="63" t="s">
        <v>250</v>
      </c>
      <c r="D14" s="28" t="s">
        <v>251</v>
      </c>
    </row>
    <row r="15" spans="3:6" ht="34">
      <c r="C15" s="66" t="s">
        <v>254</v>
      </c>
      <c r="D15" s="28" t="s">
        <v>256</v>
      </c>
    </row>
    <row r="16" spans="3:6" ht="18" thickBot="1">
      <c r="C16" s="64" t="s">
        <v>252</v>
      </c>
      <c r="D16" s="65" t="s">
        <v>253</v>
      </c>
    </row>
    <row r="17" spans="4:4">
      <c r="D17" s="2"/>
    </row>
    <row r="18" spans="4:4">
      <c r="D18" s="4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E09DC-5F36-7F4D-A9BE-F314429014B2}">
  <dimension ref="A1:O13"/>
  <sheetViews>
    <sheetView showGridLines="0" workbookViewId="0">
      <selection activeCell="I13" sqref="I13"/>
    </sheetView>
  </sheetViews>
  <sheetFormatPr baseColWidth="10" defaultRowHeight="16"/>
  <cols>
    <col min="2" max="2" width="12.83203125" bestFit="1" customWidth="1"/>
    <col min="3" max="3" width="53.5" customWidth="1"/>
    <col min="4" max="4" width="3.5" customWidth="1"/>
    <col min="5" max="5" width="51.5" customWidth="1"/>
    <col min="6" max="6" width="3.1640625" customWidth="1"/>
    <col min="7" max="7" width="34" customWidth="1"/>
    <col min="8" max="8" width="3" customWidth="1"/>
    <col min="9" max="9" width="34.1640625" customWidth="1"/>
    <col min="10" max="10" width="3" customWidth="1"/>
    <col min="11" max="11" width="24.33203125" customWidth="1"/>
    <col min="12" max="12" width="3" customWidth="1"/>
    <col min="13" max="13" width="24.33203125" customWidth="1"/>
    <col min="14" max="14" width="3" customWidth="1"/>
    <col min="15" max="15" width="24.33203125" customWidth="1"/>
  </cols>
  <sheetData>
    <row r="1" spans="1:15">
      <c r="A1" t="s">
        <v>288</v>
      </c>
    </row>
    <row r="2" spans="1:15">
      <c r="B2" t="s">
        <v>293</v>
      </c>
      <c r="C2" s="104" t="s">
        <v>294</v>
      </c>
      <c r="D2" s="104"/>
      <c r="E2" s="104"/>
      <c r="F2" s="104"/>
      <c r="G2" s="104"/>
      <c r="H2" s="104"/>
      <c r="I2" s="104"/>
      <c r="J2" s="104"/>
      <c r="K2" s="104"/>
      <c r="L2" s="104"/>
      <c r="M2" s="104"/>
      <c r="N2" s="104"/>
      <c r="O2" s="104"/>
    </row>
    <row r="3" spans="1:15">
      <c r="B3" t="s">
        <v>295</v>
      </c>
      <c r="C3" s="105" t="s">
        <v>298</v>
      </c>
      <c r="D3" s="105"/>
      <c r="E3" s="105"/>
      <c r="F3" s="105"/>
      <c r="G3" s="105"/>
      <c r="H3" s="105"/>
      <c r="I3" s="105"/>
      <c r="J3" s="105"/>
      <c r="K3" s="105"/>
      <c r="L3" s="105"/>
      <c r="M3" s="105"/>
      <c r="N3" s="105"/>
      <c r="O3" s="105"/>
    </row>
    <row r="4" spans="1:15" ht="17" thickBot="1"/>
    <row r="5" spans="1:15">
      <c r="C5" s="73" t="s">
        <v>281</v>
      </c>
      <c r="D5" s="60"/>
      <c r="E5" s="73" t="s">
        <v>282</v>
      </c>
      <c r="F5" s="60"/>
      <c r="G5" s="73" t="s">
        <v>283</v>
      </c>
      <c r="H5" s="60"/>
      <c r="I5" s="73" t="s">
        <v>284</v>
      </c>
    </row>
    <row r="6" spans="1:15" ht="153">
      <c r="C6" s="43" t="s">
        <v>309</v>
      </c>
      <c r="D6" s="41"/>
      <c r="E6" s="43" t="s">
        <v>303</v>
      </c>
      <c r="F6" s="41"/>
      <c r="G6" s="43" t="s">
        <v>299</v>
      </c>
      <c r="H6" s="41"/>
      <c r="I6" s="43" t="s">
        <v>289</v>
      </c>
    </row>
    <row r="7" spans="1:15" ht="187">
      <c r="C7" s="43" t="s">
        <v>311</v>
      </c>
      <c r="D7" s="41"/>
      <c r="E7" s="43" t="s">
        <v>308</v>
      </c>
      <c r="F7" s="41"/>
      <c r="G7" s="43" t="s">
        <v>312</v>
      </c>
      <c r="H7" s="41"/>
      <c r="I7" s="43" t="s">
        <v>296</v>
      </c>
    </row>
    <row r="8" spans="1:15" ht="153">
      <c r="C8" s="43" t="s">
        <v>310</v>
      </c>
      <c r="D8" s="41"/>
      <c r="E8" s="43" t="s">
        <v>304</v>
      </c>
      <c r="F8" s="41"/>
      <c r="G8" s="43" t="s">
        <v>300</v>
      </c>
      <c r="H8" s="41"/>
      <c r="I8" s="43" t="s">
        <v>290</v>
      </c>
    </row>
    <row r="9" spans="1:15" ht="153">
      <c r="C9" s="43" t="s">
        <v>286</v>
      </c>
      <c r="D9" s="41"/>
      <c r="E9" s="43" t="s">
        <v>305</v>
      </c>
      <c r="F9" s="41"/>
      <c r="G9" s="43" t="s">
        <v>301</v>
      </c>
      <c r="H9" s="41"/>
      <c r="I9" s="43" t="s">
        <v>297</v>
      </c>
    </row>
    <row r="10" spans="1:15" ht="86" thickBot="1">
      <c r="C10" s="44" t="s">
        <v>285</v>
      </c>
      <c r="D10" s="41"/>
      <c r="E10" s="43" t="s">
        <v>306</v>
      </c>
      <c r="F10" s="41"/>
      <c r="G10" s="43" t="s">
        <v>302</v>
      </c>
      <c r="H10" s="41"/>
      <c r="I10" s="43" t="s">
        <v>313</v>
      </c>
    </row>
    <row r="11" spans="1:15" ht="103" thickBot="1">
      <c r="C11" s="41"/>
      <c r="D11" s="41"/>
      <c r="E11" s="44" t="s">
        <v>307</v>
      </c>
      <c r="F11" s="41"/>
      <c r="G11" s="44" t="s">
        <v>287</v>
      </c>
      <c r="H11" s="41"/>
      <c r="I11" s="43" t="s">
        <v>291</v>
      </c>
    </row>
    <row r="12" spans="1:15" ht="35" thickBot="1">
      <c r="C12" s="41"/>
      <c r="D12" s="41"/>
      <c r="E12" s="41"/>
      <c r="F12" s="41"/>
      <c r="G12" s="41"/>
      <c r="H12" s="41"/>
      <c r="I12" s="44" t="s">
        <v>292</v>
      </c>
    </row>
    <row r="13" spans="1:15">
      <c r="C13" s="41"/>
      <c r="D13" s="41"/>
      <c r="E13" s="41"/>
      <c r="F13" s="41"/>
      <c r="G13" s="41"/>
      <c r="H13" s="41"/>
      <c r="I13" s="41"/>
    </row>
  </sheetData>
  <mergeCells count="2">
    <mergeCell ref="C2:O2"/>
    <mergeCell ref="C3:O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0642-B97A-BB48-97D6-252BCAB96D2A}">
  <dimension ref="C5:G5"/>
  <sheetViews>
    <sheetView showGridLines="0" workbookViewId="0">
      <selection activeCell="H42" sqref="H42"/>
    </sheetView>
  </sheetViews>
  <sheetFormatPr baseColWidth="10" defaultRowHeight="16"/>
  <cols>
    <col min="2" max="18" width="34.33203125" customWidth="1"/>
  </cols>
  <sheetData>
    <row r="5" spans="3:7">
      <c r="C5" t="s">
        <v>100</v>
      </c>
      <c r="D5" t="s">
        <v>101</v>
      </c>
      <c r="E5" t="s">
        <v>102</v>
      </c>
      <c r="F5" t="s">
        <v>103</v>
      </c>
      <c r="G5" t="s">
        <v>104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CA585-ABBE-8E45-97C0-924F6BA4884B}">
  <dimension ref="B3:Q35"/>
  <sheetViews>
    <sheetView showGridLines="0" topLeftCell="M1" zoomScale="114" workbookViewId="0">
      <selection activeCell="O23" sqref="O23"/>
    </sheetView>
  </sheetViews>
  <sheetFormatPr baseColWidth="10" defaultRowHeight="16"/>
  <cols>
    <col min="2" max="2" width="33" customWidth="1"/>
    <col min="3" max="3" width="40.33203125" bestFit="1" customWidth="1"/>
    <col min="4" max="4" width="4" customWidth="1"/>
    <col min="5" max="5" width="50.83203125" bestFit="1" customWidth="1"/>
    <col min="6" max="6" width="5.33203125" customWidth="1"/>
    <col min="7" max="7" width="33" style="41" customWidth="1"/>
    <col min="8" max="8" width="10.1640625" customWidth="1"/>
    <col min="9" max="9" width="65.5" bestFit="1" customWidth="1"/>
    <col min="10" max="10" width="3" customWidth="1"/>
    <col min="11" max="11" width="65" customWidth="1"/>
    <col min="12" max="12" width="6.33203125" customWidth="1"/>
    <col min="13" max="13" width="75.5" bestFit="1" customWidth="1"/>
    <col min="14" max="14" width="4" customWidth="1"/>
    <col min="15" max="15" width="76.5" customWidth="1"/>
    <col min="16" max="16" width="4.83203125" customWidth="1"/>
    <col min="17" max="17" width="93.83203125" style="41" customWidth="1"/>
  </cols>
  <sheetData>
    <row r="3" spans="2:17" ht="17" thickBot="1"/>
    <row r="4" spans="2:17" ht="18" thickBot="1">
      <c r="B4" t="s">
        <v>315</v>
      </c>
      <c r="E4" s="73" t="s">
        <v>324</v>
      </c>
      <c r="G4" s="81" t="s">
        <v>335</v>
      </c>
      <c r="I4" s="73" t="s">
        <v>348</v>
      </c>
      <c r="K4" s="73" t="s">
        <v>366</v>
      </c>
      <c r="M4" s="73" t="s">
        <v>442</v>
      </c>
      <c r="O4" s="90" t="s">
        <v>469</v>
      </c>
      <c r="Q4" s="81" t="s">
        <v>497</v>
      </c>
    </row>
    <row r="5" spans="2:17" ht="17">
      <c r="B5" s="86" t="s">
        <v>314</v>
      </c>
      <c r="C5" s="73" t="s">
        <v>134</v>
      </c>
      <c r="E5" s="84" t="s">
        <v>325</v>
      </c>
      <c r="G5" s="43" t="s">
        <v>336</v>
      </c>
      <c r="I5" s="84" t="s">
        <v>349</v>
      </c>
      <c r="K5" s="84" t="s">
        <v>367</v>
      </c>
      <c r="M5" s="89" t="s">
        <v>443</v>
      </c>
      <c r="N5" s="60"/>
      <c r="O5" s="91" t="s">
        <v>470</v>
      </c>
      <c r="Q5" s="43" t="s">
        <v>498</v>
      </c>
    </row>
    <row r="6" spans="2:17" ht="17">
      <c r="B6" s="87" t="s">
        <v>316</v>
      </c>
      <c r="C6" s="84" t="s">
        <v>320</v>
      </c>
      <c r="E6" s="84" t="s">
        <v>326</v>
      </c>
      <c r="G6" s="43" t="s">
        <v>337</v>
      </c>
      <c r="I6" s="84" t="s">
        <v>350</v>
      </c>
      <c r="K6" s="84" t="s">
        <v>368</v>
      </c>
      <c r="M6" s="84" t="s">
        <v>444</v>
      </c>
      <c r="O6" s="43" t="s">
        <v>514</v>
      </c>
      <c r="Q6" s="43" t="s">
        <v>499</v>
      </c>
    </row>
    <row r="7" spans="2:17" ht="34">
      <c r="B7" s="87" t="s">
        <v>317</v>
      </c>
      <c r="C7" s="84" t="s">
        <v>321</v>
      </c>
      <c r="E7" s="84" t="s">
        <v>327</v>
      </c>
      <c r="G7" s="43" t="s">
        <v>338</v>
      </c>
      <c r="I7" s="84" t="s">
        <v>351</v>
      </c>
      <c r="K7" s="84" t="s">
        <v>369</v>
      </c>
      <c r="M7" s="84" t="s">
        <v>445</v>
      </c>
      <c r="O7" s="43" t="s">
        <v>471</v>
      </c>
      <c r="Q7" s="43" t="s">
        <v>500</v>
      </c>
    </row>
    <row r="8" spans="2:17" ht="17">
      <c r="B8" s="87" t="s">
        <v>318</v>
      </c>
      <c r="C8" s="84" t="s">
        <v>322</v>
      </c>
      <c r="E8" s="84" t="s">
        <v>328</v>
      </c>
      <c r="G8" s="43" t="s">
        <v>339</v>
      </c>
      <c r="I8" s="84" t="s">
        <v>352</v>
      </c>
      <c r="K8" s="84" t="s">
        <v>370</v>
      </c>
      <c r="M8" s="84" t="s">
        <v>446</v>
      </c>
      <c r="O8" s="43" t="s">
        <v>472</v>
      </c>
      <c r="Q8" s="43" t="s">
        <v>501</v>
      </c>
    </row>
    <row r="9" spans="2:17" ht="35" thickBot="1">
      <c r="B9" s="88" t="s">
        <v>319</v>
      </c>
      <c r="C9" s="85" t="s">
        <v>323</v>
      </c>
      <c r="E9" s="84" t="s">
        <v>329</v>
      </c>
      <c r="G9" s="43" t="s">
        <v>340</v>
      </c>
      <c r="I9" s="84" t="s">
        <v>353</v>
      </c>
      <c r="K9" s="84" t="s">
        <v>371</v>
      </c>
      <c r="M9" s="84" t="s">
        <v>447</v>
      </c>
      <c r="O9" s="43" t="s">
        <v>473</v>
      </c>
      <c r="Q9" s="43" t="s">
        <v>502</v>
      </c>
    </row>
    <row r="10" spans="2:17" ht="17">
      <c r="E10" s="84" t="s">
        <v>330</v>
      </c>
      <c r="G10" s="43" t="s">
        <v>341</v>
      </c>
      <c r="I10" s="84" t="s">
        <v>354</v>
      </c>
      <c r="K10" s="84" t="s">
        <v>372</v>
      </c>
      <c r="M10" s="89" t="s">
        <v>448</v>
      </c>
      <c r="N10" s="60"/>
      <c r="O10" s="43" t="s">
        <v>474</v>
      </c>
      <c r="Q10" s="43" t="s">
        <v>503</v>
      </c>
    </row>
    <row r="11" spans="2:17" ht="17">
      <c r="E11" s="84"/>
      <c r="G11" s="43" t="s">
        <v>342</v>
      </c>
      <c r="I11" s="84" t="s">
        <v>355</v>
      </c>
      <c r="K11" s="84" t="s">
        <v>373</v>
      </c>
      <c r="M11" s="84" t="s">
        <v>449</v>
      </c>
      <c r="O11" s="43" t="s">
        <v>475</v>
      </c>
      <c r="Q11" s="43" t="s">
        <v>504</v>
      </c>
    </row>
    <row r="12" spans="2:17" ht="17">
      <c r="E12" s="84"/>
      <c r="G12" s="43" t="s">
        <v>343</v>
      </c>
      <c r="I12" s="84" t="s">
        <v>356</v>
      </c>
      <c r="K12" s="84"/>
      <c r="M12" s="84" t="s">
        <v>450</v>
      </c>
      <c r="O12" s="43" t="s">
        <v>476</v>
      </c>
      <c r="Q12" s="43" t="s">
        <v>505</v>
      </c>
    </row>
    <row r="13" spans="2:17" ht="18" thickBot="1">
      <c r="E13" s="84"/>
      <c r="G13" s="43" t="s">
        <v>344</v>
      </c>
      <c r="I13" s="85" t="s">
        <v>357</v>
      </c>
      <c r="K13" s="85"/>
      <c r="M13" s="84" t="s">
        <v>451</v>
      </c>
      <c r="O13" s="43" t="s">
        <v>477</v>
      </c>
      <c r="Q13" s="43" t="s">
        <v>506</v>
      </c>
    </row>
    <row r="14" spans="2:17" ht="34">
      <c r="E14" s="84" t="s">
        <v>331</v>
      </c>
      <c r="G14" s="43" t="s">
        <v>345</v>
      </c>
      <c r="M14" s="84" t="s">
        <v>452</v>
      </c>
      <c r="O14" s="43" t="s">
        <v>478</v>
      </c>
      <c r="Q14" s="43" t="s">
        <v>507</v>
      </c>
    </row>
    <row r="15" spans="2:17" ht="18" thickBot="1">
      <c r="E15" s="84" t="s">
        <v>314</v>
      </c>
      <c r="G15" s="43" t="s">
        <v>346</v>
      </c>
      <c r="M15" s="84" t="s">
        <v>453</v>
      </c>
      <c r="O15" s="43" t="s">
        <v>479</v>
      </c>
      <c r="Q15" s="82" t="s">
        <v>508</v>
      </c>
    </row>
    <row r="16" spans="2:17" ht="34">
      <c r="E16" s="84" t="s">
        <v>332</v>
      </c>
      <c r="G16" s="43" t="s">
        <v>347</v>
      </c>
      <c r="I16" s="73" t="s">
        <v>358</v>
      </c>
      <c r="K16" s="73" t="s">
        <v>374</v>
      </c>
      <c r="M16" s="84" t="s">
        <v>454</v>
      </c>
      <c r="O16" s="43" t="s">
        <v>480</v>
      </c>
      <c r="Q16" s="82" t="s">
        <v>509</v>
      </c>
    </row>
    <row r="17" spans="5:17" ht="18" thickBot="1">
      <c r="E17" s="84" t="s">
        <v>333</v>
      </c>
      <c r="G17" s="44"/>
      <c r="I17" s="84" t="s">
        <v>359</v>
      </c>
      <c r="K17" s="43" t="s">
        <v>375</v>
      </c>
      <c r="M17" s="84" t="s">
        <v>455</v>
      </c>
      <c r="O17" s="43" t="s">
        <v>481</v>
      </c>
      <c r="Q17" s="82" t="s">
        <v>510</v>
      </c>
    </row>
    <row r="18" spans="5:17" ht="35" thickBot="1">
      <c r="E18" s="85" t="s">
        <v>334</v>
      </c>
      <c r="I18" s="84" t="s">
        <v>360</v>
      </c>
      <c r="K18" s="43" t="s">
        <v>376</v>
      </c>
      <c r="M18" s="84" t="s">
        <v>456</v>
      </c>
      <c r="O18" s="43" t="s">
        <v>482</v>
      </c>
      <c r="Q18" s="82" t="s">
        <v>511</v>
      </c>
    </row>
    <row r="19" spans="5:17" ht="35" thickBot="1">
      <c r="I19" s="84" t="s">
        <v>361</v>
      </c>
      <c r="K19" s="43" t="s">
        <v>377</v>
      </c>
      <c r="M19" s="84" t="s">
        <v>457</v>
      </c>
      <c r="O19" s="91" t="s">
        <v>483</v>
      </c>
      <c r="Q19" s="83" t="s">
        <v>512</v>
      </c>
    </row>
    <row r="20" spans="5:17" ht="34">
      <c r="I20" s="84" t="s">
        <v>362</v>
      </c>
      <c r="K20" s="43" t="s">
        <v>378</v>
      </c>
      <c r="M20" s="84" t="s">
        <v>458</v>
      </c>
      <c r="O20" s="43" t="s">
        <v>484</v>
      </c>
    </row>
    <row r="21" spans="5:17" ht="34">
      <c r="I21" s="84" t="s">
        <v>363</v>
      </c>
      <c r="K21" s="43" t="s">
        <v>379</v>
      </c>
      <c r="M21" s="89" t="s">
        <v>459</v>
      </c>
      <c r="N21" s="60"/>
      <c r="O21" s="43" t="s">
        <v>485</v>
      </c>
      <c r="Q21" s="41" t="s">
        <v>513</v>
      </c>
    </row>
    <row r="22" spans="5:17" ht="34">
      <c r="I22" s="84" t="s">
        <v>364</v>
      </c>
      <c r="K22" s="43" t="s">
        <v>380</v>
      </c>
      <c r="M22" s="84" t="s">
        <v>460</v>
      </c>
      <c r="O22" s="43" t="s">
        <v>486</v>
      </c>
    </row>
    <row r="23" spans="5:17" ht="34">
      <c r="I23" s="84" t="s">
        <v>365</v>
      </c>
      <c r="K23" s="43" t="s">
        <v>381</v>
      </c>
      <c r="M23" s="84" t="s">
        <v>461</v>
      </c>
      <c r="O23" s="43" t="s">
        <v>487</v>
      </c>
    </row>
    <row r="24" spans="5:17" ht="17">
      <c r="I24" s="84"/>
      <c r="K24" s="43" t="s">
        <v>382</v>
      </c>
      <c r="M24" s="89" t="s">
        <v>462</v>
      </c>
      <c r="N24" s="60"/>
      <c r="O24" s="43" t="s">
        <v>488</v>
      </c>
    </row>
    <row r="25" spans="5:17" ht="18" thickBot="1">
      <c r="I25" s="85"/>
      <c r="K25" s="43" t="s">
        <v>383</v>
      </c>
      <c r="M25" s="84" t="s">
        <v>463</v>
      </c>
      <c r="O25" s="91" t="s">
        <v>489</v>
      </c>
    </row>
    <row r="26" spans="5:17" ht="34">
      <c r="K26" s="43" t="s">
        <v>384</v>
      </c>
      <c r="M26" s="84" t="s">
        <v>464</v>
      </c>
      <c r="O26" s="43" t="s">
        <v>490</v>
      </c>
    </row>
    <row r="27" spans="5:17" ht="34">
      <c r="K27" s="43" t="s">
        <v>385</v>
      </c>
      <c r="M27" s="84" t="s">
        <v>465</v>
      </c>
      <c r="O27" s="43" t="s">
        <v>491</v>
      </c>
    </row>
    <row r="28" spans="5:17" ht="17">
      <c r="K28" s="43" t="s">
        <v>386</v>
      </c>
      <c r="M28" s="84" t="s">
        <v>466</v>
      </c>
      <c r="O28" s="43" t="s">
        <v>492</v>
      </c>
    </row>
    <row r="29" spans="5:17" ht="34">
      <c r="K29" s="43" t="s">
        <v>387</v>
      </c>
      <c r="M29" s="84" t="s">
        <v>467</v>
      </c>
      <c r="O29" s="43" t="s">
        <v>493</v>
      </c>
    </row>
    <row r="30" spans="5:17" ht="35" thickBot="1">
      <c r="K30" s="43" t="s">
        <v>388</v>
      </c>
      <c r="M30" s="85" t="s">
        <v>468</v>
      </c>
      <c r="O30" s="43" t="s">
        <v>494</v>
      </c>
    </row>
    <row r="31" spans="5:17" ht="17">
      <c r="K31" s="43" t="s">
        <v>389</v>
      </c>
      <c r="O31" s="43" t="s">
        <v>495</v>
      </c>
    </row>
    <row r="32" spans="5:17" ht="35" thickBot="1">
      <c r="K32" s="43" t="s">
        <v>390</v>
      </c>
      <c r="O32" s="44" t="s">
        <v>496</v>
      </c>
    </row>
    <row r="33" spans="11:11" ht="34">
      <c r="K33" s="43" t="s">
        <v>391</v>
      </c>
    </row>
    <row r="34" spans="11:11" ht="34">
      <c r="K34" s="43" t="s">
        <v>392</v>
      </c>
    </row>
    <row r="35" spans="11:11" ht="35" thickBot="1">
      <c r="K35" s="44" t="s">
        <v>393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E9B4-7D27-E645-B750-65EB07855B31}">
  <dimension ref="A1"/>
  <sheetViews>
    <sheetView workbookViewId="0">
      <selection activeCell="I21" sqref="I21"/>
    </sheetView>
  </sheetViews>
  <sheetFormatPr baseColWidth="10" defaultRowHeight="16"/>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49455-4011-7C4B-8FB0-E8EB49F6A5D5}">
  <dimension ref="B3:N61"/>
  <sheetViews>
    <sheetView topLeftCell="A8" workbookViewId="0">
      <selection activeCell="N14" sqref="N14"/>
    </sheetView>
  </sheetViews>
  <sheetFormatPr baseColWidth="10" defaultRowHeight="16"/>
  <sheetData>
    <row r="3" spans="2:14">
      <c r="B3" s="74" t="s">
        <v>394</v>
      </c>
    </row>
    <row r="5" spans="2:14">
      <c r="B5" s="75" t="s">
        <v>395</v>
      </c>
    </row>
    <row r="7" spans="2:14">
      <c r="B7" s="76" t="s">
        <v>396</v>
      </c>
    </row>
    <row r="9" spans="2:14">
      <c r="B9" s="76" t="s">
        <v>397</v>
      </c>
    </row>
    <row r="11" spans="2:14">
      <c r="B11" s="77" t="s">
        <v>398</v>
      </c>
    </row>
    <row r="13" spans="2:14" ht="19">
      <c r="B13" s="77" t="s">
        <v>399</v>
      </c>
      <c r="N13" s="78" t="s">
        <v>437</v>
      </c>
    </row>
    <row r="14" spans="2:14" ht="20">
      <c r="B14" s="77" t="s">
        <v>400</v>
      </c>
      <c r="N14" s="79" t="s">
        <v>438</v>
      </c>
    </row>
    <row r="15" spans="2:14" ht="19">
      <c r="B15" s="77" t="s">
        <v>401</v>
      </c>
      <c r="N15" s="78" t="s">
        <v>439</v>
      </c>
    </row>
    <row r="16" spans="2:14" ht="20">
      <c r="B16" s="77" t="s">
        <v>402</v>
      </c>
      <c r="N16" s="79" t="s">
        <v>440</v>
      </c>
    </row>
    <row r="17" spans="2:14">
      <c r="B17" s="77" t="s">
        <v>403</v>
      </c>
      <c r="N17" s="80" t="s">
        <v>441</v>
      </c>
    </row>
    <row r="18" spans="2:14">
      <c r="B18" s="77" t="s">
        <v>404</v>
      </c>
    </row>
    <row r="20" spans="2:14">
      <c r="B20" s="77" t="s">
        <v>405</v>
      </c>
    </row>
    <row r="22" spans="2:14">
      <c r="B22" s="77" t="s">
        <v>406</v>
      </c>
    </row>
    <row r="23" spans="2:14">
      <c r="B23" s="77" t="s">
        <v>407</v>
      </c>
    </row>
    <row r="24" spans="2:14">
      <c r="B24" s="77" t="s">
        <v>408</v>
      </c>
    </row>
    <row r="25" spans="2:14">
      <c r="B25" s="77" t="s">
        <v>409</v>
      </c>
    </row>
    <row r="26" spans="2:14">
      <c r="B26" s="77" t="s">
        <v>410</v>
      </c>
    </row>
    <row r="27" spans="2:14">
      <c r="B27" s="77" t="s">
        <v>411</v>
      </c>
    </row>
    <row r="29" spans="2:14">
      <c r="B29" s="77" t="s">
        <v>412</v>
      </c>
    </row>
    <row r="30" spans="2:14">
      <c r="B30" s="77" t="s">
        <v>413</v>
      </c>
    </row>
    <row r="31" spans="2:14">
      <c r="B31" s="77" t="s">
        <v>414</v>
      </c>
    </row>
    <row r="32" spans="2:14">
      <c r="B32" s="77" t="s">
        <v>415</v>
      </c>
    </row>
    <row r="33" spans="2:2">
      <c r="B33" s="77" t="s">
        <v>416</v>
      </c>
    </row>
    <row r="34" spans="2:2">
      <c r="B34" s="77" t="s">
        <v>417</v>
      </c>
    </row>
    <row r="35" spans="2:2">
      <c r="B35" s="77" t="s">
        <v>418</v>
      </c>
    </row>
    <row r="37" spans="2:2">
      <c r="B37" s="77" t="s">
        <v>419</v>
      </c>
    </row>
    <row r="38" spans="2:2">
      <c r="B38" s="77" t="s">
        <v>420</v>
      </c>
    </row>
    <row r="39" spans="2:2">
      <c r="B39" s="77" t="s">
        <v>421</v>
      </c>
    </row>
    <row r="40" spans="2:2">
      <c r="B40" s="77" t="s">
        <v>422</v>
      </c>
    </row>
    <row r="41" spans="2:2">
      <c r="B41" s="77" t="s">
        <v>423</v>
      </c>
    </row>
    <row r="43" spans="2:2">
      <c r="B43" s="77" t="s">
        <v>424</v>
      </c>
    </row>
    <row r="44" spans="2:2">
      <c r="B44" s="77" t="s">
        <v>425</v>
      </c>
    </row>
    <row r="49" spans="2:2">
      <c r="B49" s="77" t="s">
        <v>426</v>
      </c>
    </row>
    <row r="51" spans="2:2">
      <c r="B51" s="77" t="s">
        <v>427</v>
      </c>
    </row>
    <row r="52" spans="2:2">
      <c r="B52" s="77" t="s">
        <v>428</v>
      </c>
    </row>
    <row r="53" spans="2:2">
      <c r="B53" s="77" t="s">
        <v>429</v>
      </c>
    </row>
    <row r="54" spans="2:2">
      <c r="B54" s="77" t="s">
        <v>430</v>
      </c>
    </row>
    <row r="55" spans="2:2">
      <c r="B55" s="77" t="s">
        <v>431</v>
      </c>
    </row>
    <row r="56" spans="2:2">
      <c r="B56" s="77" t="s">
        <v>432</v>
      </c>
    </row>
    <row r="57" spans="2:2">
      <c r="B57" s="77" t="s">
        <v>433</v>
      </c>
    </row>
    <row r="58" spans="2:2">
      <c r="B58" s="77" t="s">
        <v>434</v>
      </c>
    </row>
    <row r="60" spans="2:2">
      <c r="B60" s="77" t="s">
        <v>435</v>
      </c>
    </row>
    <row r="61" spans="2:2">
      <c r="B61" s="77" t="s">
        <v>436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2EFA6-7301-C84D-AC7A-A368FCF9D42D}">
  <dimension ref="G9"/>
  <sheetViews>
    <sheetView showGridLines="0" topLeftCell="A5" workbookViewId="0">
      <selection activeCell="J31" sqref="J31"/>
    </sheetView>
  </sheetViews>
  <sheetFormatPr baseColWidth="10" defaultRowHeight="16"/>
  <sheetData>
    <row r="9" spans="7:7">
      <c r="G9" t="s">
        <v>516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340B6-E738-F549-B68A-FDA73B5C13DF}">
  <dimension ref="B1:P130"/>
  <sheetViews>
    <sheetView workbookViewId="0">
      <selection activeCell="L25" sqref="L25"/>
    </sheetView>
  </sheetViews>
  <sheetFormatPr baseColWidth="10" defaultRowHeight="16"/>
  <cols>
    <col min="3" max="3" width="11" bestFit="1" customWidth="1"/>
    <col min="5" max="5" width="11" bestFit="1" customWidth="1"/>
    <col min="7" max="7" width="11.1640625" bestFit="1" customWidth="1"/>
  </cols>
  <sheetData>
    <row r="1" spans="2:16">
      <c r="P1">
        <f>11.75%*2</f>
        <v>0.23499999999999999</v>
      </c>
    </row>
    <row r="2" spans="2:16">
      <c r="B2" t="s">
        <v>118</v>
      </c>
      <c r="C2" t="s">
        <v>111</v>
      </c>
      <c r="D2" t="s">
        <v>112</v>
      </c>
      <c r="E2" t="s">
        <v>113</v>
      </c>
      <c r="F2" t="s">
        <v>114</v>
      </c>
      <c r="G2" t="s">
        <v>115</v>
      </c>
      <c r="L2" t="s">
        <v>117</v>
      </c>
      <c r="M2" t="s">
        <v>116</v>
      </c>
    </row>
    <row r="3" spans="2:16">
      <c r="B3">
        <v>1</v>
      </c>
      <c r="C3" s="39">
        <f>10000</f>
        <v>10000</v>
      </c>
      <c r="D3" s="39">
        <f t="shared" ref="D3:D20" ca="1" si="0">C3/(1+$M3)</f>
        <v>9732.1385175929536</v>
      </c>
      <c r="E3" s="39">
        <v>8000</v>
      </c>
      <c r="F3" s="39">
        <f t="shared" ref="F3:F20" ca="1" si="1">E3/(1+$M3)</f>
        <v>7785.710814074363</v>
      </c>
      <c r="G3" s="39">
        <f ca="1">F3-C3</f>
        <v>-2214.289185925637</v>
      </c>
      <c r="K3">
        <f ca="1">RAND()</f>
        <v>0.81456713902709421</v>
      </c>
      <c r="L3">
        <f ca="1">K3/SUM($K$3:$K$130)</f>
        <v>1.2298919933655873E-2</v>
      </c>
      <c r="M3" s="40">
        <f ca="1">_xlfn.NORM.INV(L3, 5%, 1%)</f>
        <v>2.752339395116785E-2</v>
      </c>
      <c r="N3">
        <f ca="1">_xlfn.NORM.DIST(M3, 5%, 1%,FALSE)</f>
        <v>3.1907071055388649</v>
      </c>
    </row>
    <row r="4" spans="2:16">
      <c r="B4">
        <f>B3+1</f>
        <v>2</v>
      </c>
      <c r="C4" s="39">
        <f>10000</f>
        <v>10000</v>
      </c>
      <c r="D4" s="39">
        <f t="shared" ca="1" si="0"/>
        <v>9725.2914068320079</v>
      </c>
      <c r="E4" s="39">
        <v>8000</v>
      </c>
      <c r="F4" s="39">
        <f t="shared" ca="1" si="1"/>
        <v>7780.2331254656056</v>
      </c>
      <c r="G4" s="39">
        <f t="shared" ref="G4:G20" ca="1" si="2">F4-C4</f>
        <v>-2219.7668745343944</v>
      </c>
      <c r="K4">
        <f t="shared" ref="K4:K67" ca="1" si="3">RAND()</f>
        <v>0.98042503830106831</v>
      </c>
      <c r="L4">
        <f t="shared" ref="L4:L67" ca="1" si="4">K4/SUM($K$3:$K$130)</f>
        <v>1.4803161666229765E-2</v>
      </c>
      <c r="M4" s="40">
        <f t="shared" ref="M4:M67" ca="1" si="5">_xlfn.NORM.INV(L4, 5%, 1%)</f>
        <v>2.824682384067272E-2</v>
      </c>
      <c r="N4">
        <f t="shared" ref="N4:N67" ca="1" si="6">_xlfn.NORM.DIST(M4, 5%, 1%,FALSE)</f>
        <v>3.744276051831136</v>
      </c>
    </row>
    <row r="5" spans="2:16">
      <c r="B5">
        <f t="shared" ref="B5:B20" si="7">B4+1</f>
        <v>3</v>
      </c>
      <c r="C5" s="39">
        <f>10000</f>
        <v>10000</v>
      </c>
      <c r="D5" s="39">
        <f t="shared" ca="1" si="0"/>
        <v>9742.0141766101933</v>
      </c>
      <c r="E5" s="39">
        <v>8000</v>
      </c>
      <c r="F5" s="39">
        <f t="shared" ca="1" si="1"/>
        <v>7793.611341288155</v>
      </c>
      <c r="G5" s="39">
        <f t="shared" ca="1" si="2"/>
        <v>-2206.388658711845</v>
      </c>
      <c r="H5" s="39"/>
      <c r="I5" s="39"/>
      <c r="K5">
        <f t="shared" ca="1" si="3"/>
        <v>0.61865134986017278</v>
      </c>
      <c r="L5">
        <f t="shared" ca="1" si="4"/>
        <v>9.3408425828055766E-3</v>
      </c>
      <c r="M5" s="40">
        <f t="shared" ca="1" si="5"/>
        <v>2.6481774580990696E-2</v>
      </c>
      <c r="N5">
        <f t="shared" ca="1" si="6"/>
        <v>2.5110400214185931</v>
      </c>
    </row>
    <row r="6" spans="2:16">
      <c r="B6">
        <f t="shared" si="7"/>
        <v>4</v>
      </c>
      <c r="C6" s="39">
        <f>10000</f>
        <v>10000</v>
      </c>
      <c r="D6" s="39">
        <f t="shared" ca="1" si="0"/>
        <v>9730.1326316648774</v>
      </c>
      <c r="E6" s="39">
        <v>8000</v>
      </c>
      <c r="F6" s="39">
        <f t="shared" ca="1" si="1"/>
        <v>7784.1061053319008</v>
      </c>
      <c r="G6" s="39">
        <f t="shared" ca="1" si="2"/>
        <v>-2215.8938946680992</v>
      </c>
      <c r="H6" s="39"/>
      <c r="I6" s="39"/>
      <c r="K6">
        <f t="shared" ca="1" si="3"/>
        <v>0.86041012054129562</v>
      </c>
      <c r="L6">
        <f t="shared" ca="1" si="4"/>
        <v>1.2991090206859682E-2</v>
      </c>
      <c r="M6" s="40">
        <f t="shared" ca="1" si="5"/>
        <v>2.7735219914360763E-2</v>
      </c>
      <c r="N6">
        <f t="shared" ca="1" si="6"/>
        <v>3.3455446032838205</v>
      </c>
    </row>
    <row r="7" spans="2:16">
      <c r="B7">
        <f t="shared" si="7"/>
        <v>5</v>
      </c>
      <c r="C7" s="39">
        <f>10000</f>
        <v>10000</v>
      </c>
      <c r="D7" s="39">
        <f t="shared" ca="1" si="0"/>
        <v>9816.1188784060414</v>
      </c>
      <c r="E7" s="39">
        <v>8000</v>
      </c>
      <c r="F7" s="39">
        <f t="shared" ca="1" si="1"/>
        <v>7852.8951027248331</v>
      </c>
      <c r="G7" s="39">
        <f t="shared" ca="1" si="2"/>
        <v>-2147.1048972751669</v>
      </c>
      <c r="H7" s="39"/>
      <c r="I7" s="39"/>
      <c r="K7">
        <f t="shared" ca="1" si="3"/>
        <v>5.8532877867235822E-2</v>
      </c>
      <c r="L7">
        <f t="shared" ca="1" si="4"/>
        <v>8.8377144606571984E-4</v>
      </c>
      <c r="M7" s="40">
        <f t="shared" ca="1" si="5"/>
        <v>1.873256873431596E-2</v>
      </c>
      <c r="N7">
        <f t="shared" ca="1" si="6"/>
        <v>0.30058351695332658</v>
      </c>
    </row>
    <row r="8" spans="2:16">
      <c r="B8">
        <f t="shared" si="7"/>
        <v>6</v>
      </c>
      <c r="C8" s="39">
        <f>10000</f>
        <v>10000</v>
      </c>
      <c r="D8" s="39">
        <f t="shared" ca="1" si="0"/>
        <v>9801.2065699067753</v>
      </c>
      <c r="E8" s="39">
        <v>8000</v>
      </c>
      <c r="F8" s="39">
        <f t="shared" ca="1" si="1"/>
        <v>7840.96525592542</v>
      </c>
      <c r="G8" s="39">
        <f t="shared" ca="1" si="2"/>
        <v>-2159.03474407458</v>
      </c>
      <c r="H8" s="39"/>
      <c r="I8" s="39"/>
      <c r="K8">
        <f t="shared" ca="1" si="3"/>
        <v>9.8058717461647849E-2</v>
      </c>
      <c r="L8">
        <f t="shared" ca="1" si="4"/>
        <v>1.4805609716815194E-3</v>
      </c>
      <c r="M8" s="40">
        <f t="shared" ca="1" si="5"/>
        <v>2.0282546712523376E-2</v>
      </c>
      <c r="N8">
        <f t="shared" ca="1" si="6"/>
        <v>0.48219653615367497</v>
      </c>
    </row>
    <row r="9" spans="2:16">
      <c r="B9">
        <f t="shared" si="7"/>
        <v>7</v>
      </c>
      <c r="C9" s="39">
        <f>10000</f>
        <v>10000</v>
      </c>
      <c r="D9" s="39">
        <f t="shared" ca="1" si="0"/>
        <v>9797.5057052687316</v>
      </c>
      <c r="E9" s="39">
        <v>8000</v>
      </c>
      <c r="F9" s="39">
        <f t="shared" ca="1" si="1"/>
        <v>7838.0045642149853</v>
      </c>
      <c r="G9" s="39">
        <f t="shared" ca="1" si="2"/>
        <v>-2161.9954357850147</v>
      </c>
      <c r="H9" s="39"/>
      <c r="I9" s="39"/>
      <c r="K9">
        <f t="shared" ca="1" si="3"/>
        <v>0.1110960510863821</v>
      </c>
      <c r="L9">
        <f t="shared" ca="1" si="4"/>
        <v>1.6774080021061443E-3</v>
      </c>
      <c r="M9" s="40">
        <f t="shared" ca="1" si="5"/>
        <v>2.066794353815735E-2</v>
      </c>
      <c r="N9">
        <f t="shared" ca="1" si="6"/>
        <v>0.54030794760773715</v>
      </c>
    </row>
    <row r="10" spans="2:16">
      <c r="B10">
        <f t="shared" si="7"/>
        <v>8</v>
      </c>
      <c r="C10" s="39">
        <f>10000</f>
        <v>10000</v>
      </c>
      <c r="D10" s="39">
        <f t="shared" ca="1" si="0"/>
        <v>9731.1006461088673</v>
      </c>
      <c r="E10" s="39">
        <v>8000</v>
      </c>
      <c r="F10" s="39">
        <f t="shared" ca="1" si="1"/>
        <v>7784.880516887094</v>
      </c>
      <c r="G10" s="39">
        <f t="shared" ca="1" si="2"/>
        <v>-2215.119483112906</v>
      </c>
      <c r="H10" s="39"/>
      <c r="I10" s="39"/>
      <c r="K10">
        <f t="shared" ca="1" si="3"/>
        <v>0.83801327301571504</v>
      </c>
      <c r="L10">
        <f t="shared" ca="1" si="4"/>
        <v>1.2652926510724806E-2</v>
      </c>
      <c r="M10" s="40">
        <f t="shared" ca="1" si="5"/>
        <v>2.7632984558499819E-2</v>
      </c>
      <c r="N10">
        <f t="shared" ca="1" si="6"/>
        <v>3.270080995870881</v>
      </c>
    </row>
    <row r="11" spans="2:16">
      <c r="B11">
        <f t="shared" si="7"/>
        <v>9</v>
      </c>
      <c r="C11" s="39">
        <f>10000</f>
        <v>10000</v>
      </c>
      <c r="D11" s="39">
        <f t="shared" ca="1" si="0"/>
        <v>9765.1774181622277</v>
      </c>
      <c r="E11" s="39">
        <v>8000</v>
      </c>
      <c r="F11" s="39">
        <f t="shared" ca="1" si="1"/>
        <v>7812.1419345297818</v>
      </c>
      <c r="G11" s="39">
        <f t="shared" ca="1" si="2"/>
        <v>-2187.8580654702182</v>
      </c>
      <c r="K11">
        <f t="shared" ca="1" si="3"/>
        <v>0.31296227875124683</v>
      </c>
      <c r="L11">
        <f t="shared" ca="1" si="4"/>
        <v>4.7253293488040476E-3</v>
      </c>
      <c r="M11" s="40">
        <f t="shared" ca="1" si="5"/>
        <v>2.4046934508432642E-2</v>
      </c>
      <c r="N11">
        <f t="shared" ca="1" si="6"/>
        <v>1.3749585850970414</v>
      </c>
    </row>
    <row r="12" spans="2:16">
      <c r="B12">
        <f t="shared" si="7"/>
        <v>10</v>
      </c>
      <c r="C12" s="39">
        <f>10000</f>
        <v>10000</v>
      </c>
      <c r="D12" s="39">
        <f t="shared" ca="1" si="0"/>
        <v>9777.3213264923997</v>
      </c>
      <c r="E12" s="39">
        <v>8000</v>
      </c>
      <c r="F12" s="39">
        <f t="shared" ca="1" si="1"/>
        <v>7821.8570611939194</v>
      </c>
      <c r="G12" s="39">
        <f t="shared" ca="1" si="2"/>
        <v>-2178.1429388060806</v>
      </c>
      <c r="K12">
        <f t="shared" ca="1" si="3"/>
        <v>0.21455594067119688</v>
      </c>
      <c r="L12">
        <f t="shared" ca="1" si="4"/>
        <v>3.2395197512595677E-3</v>
      </c>
      <c r="M12" s="40">
        <f t="shared" ca="1" si="5"/>
        <v>2.2775018440299749E-2</v>
      </c>
      <c r="N12">
        <f t="shared" ca="1" si="6"/>
        <v>0.98042762363121938</v>
      </c>
    </row>
    <row r="13" spans="2:16">
      <c r="B13">
        <f t="shared" si="7"/>
        <v>11</v>
      </c>
      <c r="C13" s="39">
        <f>10000</f>
        <v>10000</v>
      </c>
      <c r="D13" s="39">
        <f t="shared" ca="1" si="0"/>
        <v>9727.796399519355</v>
      </c>
      <c r="E13" s="39">
        <v>8000</v>
      </c>
      <c r="F13" s="39">
        <f t="shared" ca="1" si="1"/>
        <v>7782.2371196154845</v>
      </c>
      <c r="G13" s="39">
        <f t="shared" ca="1" si="2"/>
        <v>-2217.7628803845155</v>
      </c>
      <c r="K13">
        <f t="shared" ca="1" si="3"/>
        <v>0.91662517105619723</v>
      </c>
      <c r="L13">
        <f t="shared" ca="1" si="4"/>
        <v>1.3839865430194831E-2</v>
      </c>
      <c r="M13" s="40">
        <f t="shared" ca="1" si="5"/>
        <v>2.7982041286770214E-2</v>
      </c>
      <c r="N13">
        <f t="shared" ca="1" si="6"/>
        <v>3.5334655207953136</v>
      </c>
    </row>
    <row r="14" spans="2:16">
      <c r="B14">
        <f t="shared" si="7"/>
        <v>12</v>
      </c>
      <c r="C14" s="39">
        <f>10000</f>
        <v>10000</v>
      </c>
      <c r="D14" s="39">
        <f t="shared" ca="1" si="0"/>
        <v>9749.4345108062589</v>
      </c>
      <c r="E14" s="39">
        <v>8000</v>
      </c>
      <c r="F14" s="39">
        <f t="shared" ca="1" si="1"/>
        <v>7799.547608645008</v>
      </c>
      <c r="G14" s="39">
        <f t="shared" ca="1" si="2"/>
        <v>-2200.452391354992</v>
      </c>
      <c r="K14">
        <f t="shared" ca="1" si="3"/>
        <v>0.50007452466497715</v>
      </c>
      <c r="L14">
        <f t="shared" ca="1" si="4"/>
        <v>7.550484478248758E-3</v>
      </c>
      <c r="M14" s="40">
        <f t="shared" ca="1" si="5"/>
        <v>2.5700515134084372E-2</v>
      </c>
      <c r="N14">
        <f t="shared" ca="1" si="6"/>
        <v>2.0832034497966223</v>
      </c>
    </row>
    <row r="15" spans="2:16">
      <c r="B15">
        <f t="shared" si="7"/>
        <v>13</v>
      </c>
      <c r="C15" s="39">
        <f>10000</f>
        <v>10000</v>
      </c>
      <c r="D15" s="39">
        <f t="shared" ca="1" si="0"/>
        <v>9724.9343131132573</v>
      </c>
      <c r="E15" s="39">
        <v>8000</v>
      </c>
      <c r="F15" s="39">
        <f t="shared" ca="1" si="1"/>
        <v>7779.9474504906057</v>
      </c>
      <c r="G15" s="39">
        <f t="shared" ca="1" si="2"/>
        <v>-2220.0525495093943</v>
      </c>
      <c r="K15">
        <f t="shared" ca="1" si="3"/>
        <v>0.98982669430081716</v>
      </c>
      <c r="L15">
        <f t="shared" ca="1" si="4"/>
        <v>1.4945114623628455E-2</v>
      </c>
      <c r="M15" s="40">
        <f t="shared" ca="1" si="5"/>
        <v>2.8284580443473078E-2</v>
      </c>
      <c r="N15">
        <f t="shared" ca="1" si="6"/>
        <v>3.7751284937586167</v>
      </c>
    </row>
    <row r="16" spans="2:16">
      <c r="B16">
        <f t="shared" si="7"/>
        <v>14</v>
      </c>
      <c r="C16" s="39">
        <f>10000</f>
        <v>10000</v>
      </c>
      <c r="D16" s="39">
        <f t="shared" ca="1" si="0"/>
        <v>9767.4332095682021</v>
      </c>
      <c r="E16" s="39">
        <v>8000</v>
      </c>
      <c r="F16" s="39">
        <f t="shared" ca="1" si="1"/>
        <v>7813.9465676545624</v>
      </c>
      <c r="G16" s="39">
        <f t="shared" ca="1" si="2"/>
        <v>-2186.0534323454376</v>
      </c>
      <c r="K16">
        <f t="shared" ca="1" si="3"/>
        <v>0.29207471998458756</v>
      </c>
      <c r="L16">
        <f t="shared" ca="1" si="4"/>
        <v>4.4099539787792949E-3</v>
      </c>
      <c r="M16" s="40">
        <f t="shared" ca="1" si="5"/>
        <v>2.3810430585179281E-2</v>
      </c>
      <c r="N16">
        <f t="shared" ca="1" si="6"/>
        <v>1.2927399034300859</v>
      </c>
    </row>
    <row r="17" spans="2:14">
      <c r="B17">
        <f t="shared" si="7"/>
        <v>15</v>
      </c>
      <c r="C17" s="39">
        <f>10000</f>
        <v>10000</v>
      </c>
      <c r="D17" s="39">
        <f t="shared" ca="1" si="0"/>
        <v>9759.7148328464791</v>
      </c>
      <c r="E17" s="39">
        <v>8000</v>
      </c>
      <c r="F17" s="39">
        <f t="shared" ca="1" si="1"/>
        <v>7807.771866277184</v>
      </c>
      <c r="G17" s="39">
        <f t="shared" ca="1" si="2"/>
        <v>-2192.228133722816</v>
      </c>
      <c r="K17">
        <f t="shared" ca="1" si="3"/>
        <v>0.36920752339472007</v>
      </c>
      <c r="L17">
        <f t="shared" ca="1" si="4"/>
        <v>5.5745604647869321E-3</v>
      </c>
      <c r="M17" s="40">
        <f t="shared" ca="1" si="5"/>
        <v>2.4620101229273373E-2</v>
      </c>
      <c r="N17">
        <f t="shared" ca="1" si="6"/>
        <v>1.5928666934516431</v>
      </c>
    </row>
    <row r="18" spans="2:14">
      <c r="B18">
        <f t="shared" si="7"/>
        <v>16</v>
      </c>
      <c r="C18" s="39">
        <f>10000</f>
        <v>10000</v>
      </c>
      <c r="D18" s="39">
        <f t="shared" ca="1" si="0"/>
        <v>9728.4404886402172</v>
      </c>
      <c r="E18" s="39">
        <v>8000</v>
      </c>
      <c r="F18" s="39">
        <f t="shared" ca="1" si="1"/>
        <v>7782.7523909121746</v>
      </c>
      <c r="G18" s="39">
        <f t="shared" ca="1" si="2"/>
        <v>-2217.2476090878254</v>
      </c>
      <c r="K18">
        <f t="shared" ca="1" si="3"/>
        <v>0.90081648619812438</v>
      </c>
      <c r="L18">
        <f t="shared" ca="1" si="4"/>
        <v>1.3601174547626134E-2</v>
      </c>
      <c r="M18" s="40">
        <f t="shared" ca="1" si="5"/>
        <v>2.7913981863473249E-2</v>
      </c>
      <c r="N18">
        <f t="shared" ca="1" si="6"/>
        <v>3.4808296381779744</v>
      </c>
    </row>
    <row r="19" spans="2:14">
      <c r="B19">
        <f t="shared" si="7"/>
        <v>17</v>
      </c>
      <c r="C19" s="39">
        <f>10000</f>
        <v>10000</v>
      </c>
      <c r="D19" s="39">
        <f t="shared" ca="1" si="0"/>
        <v>9791.6287750378651</v>
      </c>
      <c r="E19" s="39">
        <v>8000</v>
      </c>
      <c r="F19" s="39">
        <f t="shared" ca="1" si="1"/>
        <v>7833.3030200302919</v>
      </c>
      <c r="G19" s="39">
        <f t="shared" ca="1" si="2"/>
        <v>-2166.6969799697081</v>
      </c>
      <c r="K19">
        <f t="shared" ca="1" si="3"/>
        <v>0.13509546774494208</v>
      </c>
      <c r="L19">
        <f t="shared" ca="1" si="4"/>
        <v>2.0397684384608674E-3</v>
      </c>
      <c r="M19" s="40">
        <f t="shared" ca="1" si="5"/>
        <v>2.128054787915808E-2</v>
      </c>
      <c r="N19">
        <f t="shared" ca="1" si="6"/>
        <v>0.64545292596456094</v>
      </c>
    </row>
    <row r="20" spans="2:14">
      <c r="B20">
        <f t="shared" si="7"/>
        <v>18</v>
      </c>
      <c r="C20" s="39">
        <f>10000</f>
        <v>10000</v>
      </c>
      <c r="D20" s="39">
        <f t="shared" ca="1" si="0"/>
        <v>9780.1013742277428</v>
      </c>
      <c r="E20" s="39">
        <v>8000</v>
      </c>
      <c r="F20" s="39">
        <f t="shared" ca="1" si="1"/>
        <v>7824.0810993821951</v>
      </c>
      <c r="G20" s="39">
        <f t="shared" ca="1" si="2"/>
        <v>-2175.9189006178049</v>
      </c>
      <c r="K20">
        <f t="shared" ca="1" si="3"/>
        <v>0.19640787168096363</v>
      </c>
      <c r="L20">
        <f t="shared" ca="1" si="4"/>
        <v>2.965507166209881E-3</v>
      </c>
      <c r="M20" s="40">
        <f t="shared" ca="1" si="5"/>
        <v>2.248428900253811E-2</v>
      </c>
      <c r="N20">
        <f t="shared" ca="1" si="6"/>
        <v>0.90543471214815741</v>
      </c>
    </row>
    <row r="21" spans="2:14">
      <c r="K21">
        <f t="shared" ca="1" si="3"/>
        <v>0.49803098190087058</v>
      </c>
      <c r="L21">
        <f t="shared" ca="1" si="4"/>
        <v>7.5196296013054437E-3</v>
      </c>
      <c r="M21" s="40">
        <f t="shared" ca="1" si="5"/>
        <v>2.5685677146861242E-2</v>
      </c>
      <c r="N21">
        <f t="shared" ca="1" si="6"/>
        <v>2.0757035858980433</v>
      </c>
    </row>
    <row r="22" spans="2:14">
      <c r="K22">
        <f t="shared" ca="1" si="3"/>
        <v>0.25070218515477805</v>
      </c>
      <c r="L22">
        <f t="shared" ca="1" si="4"/>
        <v>3.7852817216440962E-3</v>
      </c>
      <c r="M22" s="40">
        <f t="shared" ca="1" si="5"/>
        <v>2.3293548604865225E-2</v>
      </c>
      <c r="N22">
        <f t="shared" ca="1" si="6"/>
        <v>1.1275632881090167</v>
      </c>
    </row>
    <row r="23" spans="2:14">
      <c r="K23">
        <f t="shared" ca="1" si="3"/>
        <v>8.0138022010736165E-3</v>
      </c>
      <c r="L23">
        <f t="shared" ca="1" si="4"/>
        <v>1.2099814356969936E-4</v>
      </c>
      <c r="M23" s="40">
        <f t="shared" ca="1" si="5"/>
        <v>1.3294153280397208E-2</v>
      </c>
      <c r="N23">
        <f t="shared" ca="1" si="6"/>
        <v>4.7341676370554177E-2</v>
      </c>
    </row>
    <row r="24" spans="2:14">
      <c r="K24">
        <f t="shared" ca="1" si="3"/>
        <v>0.13037656885536819</v>
      </c>
      <c r="L24">
        <f t="shared" ca="1" si="4"/>
        <v>1.968519112484858E-3</v>
      </c>
      <c r="M24" s="40">
        <f t="shared" ca="1" si="5"/>
        <v>2.1168371307390178E-2</v>
      </c>
      <c r="N24">
        <f t="shared" ca="1" si="6"/>
        <v>0.62495076236866709</v>
      </c>
    </row>
    <row r="25" spans="2:14">
      <c r="K25">
        <f t="shared" ca="1" si="3"/>
        <v>0.89666775670130183</v>
      </c>
      <c r="L25">
        <f t="shared" ca="1" si="4"/>
        <v>1.3538534048810088E-2</v>
      </c>
      <c r="M25" s="40">
        <f t="shared" ca="1" si="5"/>
        <v>2.7895950142687437E-2</v>
      </c>
      <c r="N25">
        <f t="shared" ca="1" si="6"/>
        <v>3.4669892024188274</v>
      </c>
    </row>
    <row r="26" spans="2:14">
      <c r="K26">
        <f t="shared" ca="1" si="3"/>
        <v>0.43234046387256864</v>
      </c>
      <c r="L26">
        <f t="shared" ca="1" si="4"/>
        <v>6.5277869613047275E-3</v>
      </c>
      <c r="M26" s="40">
        <f t="shared" ca="1" si="5"/>
        <v>2.5177502621270317E-2</v>
      </c>
      <c r="N26">
        <f t="shared" ca="1" si="6"/>
        <v>1.8320760404716214</v>
      </c>
    </row>
    <row r="27" spans="2:14">
      <c r="K27">
        <f t="shared" ca="1" si="3"/>
        <v>0.66159389841967298</v>
      </c>
      <c r="L27">
        <f t="shared" ca="1" si="4"/>
        <v>9.9892200352906264E-3</v>
      </c>
      <c r="M27" s="40">
        <f t="shared" ca="1" si="5"/>
        <v>2.6732474665613869E-2</v>
      </c>
      <c r="N27">
        <f t="shared" ca="1" si="6"/>
        <v>2.6627062074709422</v>
      </c>
    </row>
    <row r="28" spans="2:14">
      <c r="K28">
        <f t="shared" ca="1" si="3"/>
        <v>0.14208464378125907</v>
      </c>
      <c r="L28">
        <f t="shared" ca="1" si="4"/>
        <v>2.1452960399984855E-3</v>
      </c>
      <c r="M28" s="40">
        <f t="shared" ca="1" si="5"/>
        <v>2.1440326161871411E-2</v>
      </c>
      <c r="N28">
        <f t="shared" ca="1" si="6"/>
        <v>0.67567492693150211</v>
      </c>
    </row>
    <row r="29" spans="2:14">
      <c r="K29">
        <f t="shared" ca="1" si="3"/>
        <v>0.75232736561294389</v>
      </c>
      <c r="L29">
        <f t="shared" ca="1" si="4"/>
        <v>1.1359179115208669E-2</v>
      </c>
      <c r="M29" s="40">
        <f t="shared" ca="1" si="5"/>
        <v>2.7218620234367854E-2</v>
      </c>
      <c r="N29">
        <f t="shared" ca="1" si="6"/>
        <v>2.9780696812260876</v>
      </c>
    </row>
    <row r="30" spans="2:14">
      <c r="K30">
        <f t="shared" ca="1" si="3"/>
        <v>0.57733672002884384</v>
      </c>
      <c r="L30">
        <f t="shared" ca="1" si="4"/>
        <v>8.7170446169423307E-3</v>
      </c>
      <c r="M30" s="40">
        <f t="shared" ca="1" si="5"/>
        <v>2.6225771424563241E-2</v>
      </c>
      <c r="N30">
        <f t="shared" ca="1" si="6"/>
        <v>2.3635433936596613</v>
      </c>
    </row>
    <row r="31" spans="2:14">
      <c r="K31">
        <f t="shared" ca="1" si="3"/>
        <v>0.92456812808297695</v>
      </c>
      <c r="L31">
        <f t="shared" ca="1" si="4"/>
        <v>1.3959793902420598E-2</v>
      </c>
      <c r="M31" s="40">
        <f t="shared" ca="1" si="5"/>
        <v>2.8015855909420961E-2</v>
      </c>
      <c r="N31">
        <f t="shared" ca="1" si="6"/>
        <v>3.5598510204736198</v>
      </c>
    </row>
    <row r="32" spans="2:14">
      <c r="K32">
        <f t="shared" ca="1" si="3"/>
        <v>0.30133687626211147</v>
      </c>
      <c r="L32">
        <f t="shared" ca="1" si="4"/>
        <v>4.5498006691409177E-3</v>
      </c>
      <c r="M32" s="40">
        <f t="shared" ca="1" si="5"/>
        <v>2.3917107028361469E-2</v>
      </c>
      <c r="N32">
        <f t="shared" ca="1" si="6"/>
        <v>1.3292902111270031</v>
      </c>
    </row>
    <row r="33" spans="11:14">
      <c r="K33">
        <f t="shared" ca="1" si="3"/>
        <v>0.67526987279242179</v>
      </c>
      <c r="L33">
        <f t="shared" ca="1" si="4"/>
        <v>1.0195709722593828E-2</v>
      </c>
      <c r="M33" s="40">
        <f t="shared" ca="1" si="5"/>
        <v>2.680933289546869E-2</v>
      </c>
      <c r="N33">
        <f t="shared" ca="1" si="6"/>
        <v>2.7106716595009863</v>
      </c>
    </row>
    <row r="34" spans="11:14">
      <c r="K34">
        <f t="shared" ca="1" si="3"/>
        <v>0.86458452801460339</v>
      </c>
      <c r="L34">
        <f t="shared" ca="1" si="4"/>
        <v>1.3054118410214395E-2</v>
      </c>
      <c r="M34" s="40">
        <f t="shared" ca="1" si="5"/>
        <v>2.7754019968908174E-2</v>
      </c>
      <c r="N34">
        <f t="shared" ca="1" si="6"/>
        <v>3.3595717653528756</v>
      </c>
    </row>
    <row r="35" spans="11:14">
      <c r="K35">
        <f t="shared" ca="1" si="3"/>
        <v>0.28298014210950673</v>
      </c>
      <c r="L35">
        <f t="shared" ca="1" si="4"/>
        <v>4.2726375075432792E-3</v>
      </c>
      <c r="M35" s="40">
        <f t="shared" ca="1" si="5"/>
        <v>2.3702701754109642E-2</v>
      </c>
      <c r="N35">
        <f t="shared" ca="1" si="6"/>
        <v>1.256703694675678</v>
      </c>
    </row>
    <row r="36" spans="11:14">
      <c r="K36">
        <f t="shared" ca="1" si="3"/>
        <v>6.6136367539684993E-2</v>
      </c>
      <c r="L36">
        <f t="shared" ca="1" si="4"/>
        <v>9.9857439626761975E-4</v>
      </c>
      <c r="M36" s="40">
        <f t="shared" ca="1" si="5"/>
        <v>1.9093440231921846E-2</v>
      </c>
      <c r="N36">
        <f t="shared" ca="1" si="6"/>
        <v>0.3362684328427073</v>
      </c>
    </row>
    <row r="37" spans="11:14">
      <c r="K37">
        <f t="shared" ca="1" si="3"/>
        <v>0.96441106361683115</v>
      </c>
      <c r="L37">
        <f t="shared" ca="1" si="4"/>
        <v>1.456137117036436E-2</v>
      </c>
      <c r="M37" s="40">
        <f t="shared" ca="1" si="5"/>
        <v>2.8181789493584814E-2</v>
      </c>
      <c r="N37">
        <f t="shared" ca="1" si="6"/>
        <v>3.6916005015515285</v>
      </c>
    </row>
    <row r="38" spans="11:14">
      <c r="K38">
        <f t="shared" ca="1" si="3"/>
        <v>0.29594557085223483</v>
      </c>
      <c r="L38">
        <f t="shared" ca="1" si="4"/>
        <v>4.4683988663955293E-3</v>
      </c>
      <c r="M38" s="40">
        <f t="shared" ca="1" si="5"/>
        <v>2.3855375269217969E-2</v>
      </c>
      <c r="N38">
        <f t="shared" ca="1" si="6"/>
        <v>1.3080332081627044</v>
      </c>
    </row>
    <row r="39" spans="11:14">
      <c r="K39">
        <f t="shared" ca="1" si="3"/>
        <v>0.42264543300821256</v>
      </c>
      <c r="L39">
        <f t="shared" ca="1" si="4"/>
        <v>6.381404419409588E-3</v>
      </c>
      <c r="M39" s="40">
        <f t="shared" ca="1" si="5"/>
        <v>2.5096798956618042E-2</v>
      </c>
      <c r="N39">
        <f t="shared" ca="1" si="6"/>
        <v>1.7956813673427994</v>
      </c>
    </row>
    <row r="40" spans="11:14">
      <c r="K40">
        <f t="shared" ca="1" si="3"/>
        <v>0.90136974687509341</v>
      </c>
      <c r="L40">
        <f t="shared" ca="1" si="4"/>
        <v>1.3609528074846259E-2</v>
      </c>
      <c r="M40" s="40">
        <f t="shared" ca="1" si="5"/>
        <v>2.79163810944381E-2</v>
      </c>
      <c r="N40">
        <f t="shared" ca="1" si="6"/>
        <v>3.482674499495793</v>
      </c>
    </row>
    <row r="41" spans="11:14">
      <c r="K41">
        <f t="shared" ca="1" si="3"/>
        <v>0.54505504524733339</v>
      </c>
      <c r="L41">
        <f t="shared" ca="1" si="4"/>
        <v>8.2296326966231279E-3</v>
      </c>
      <c r="M41" s="40">
        <f t="shared" ca="1" si="5"/>
        <v>2.6014307826901915E-2</v>
      </c>
      <c r="N41">
        <f t="shared" ca="1" si="6"/>
        <v>2.2471539572817383</v>
      </c>
    </row>
    <row r="42" spans="11:14">
      <c r="K42">
        <f t="shared" ca="1" si="3"/>
        <v>0.5277215317313757</v>
      </c>
      <c r="L42">
        <f t="shared" ca="1" si="4"/>
        <v>7.9679188553842973E-3</v>
      </c>
      <c r="M42" s="40">
        <f t="shared" ca="1" si="5"/>
        <v>2.5896182827310887E-2</v>
      </c>
      <c r="N42">
        <f t="shared" ca="1" si="6"/>
        <v>2.1842262379252118</v>
      </c>
    </row>
    <row r="43" spans="11:14">
      <c r="K43">
        <f t="shared" ca="1" si="3"/>
        <v>0.80769925952902732</v>
      </c>
      <c r="L43">
        <f t="shared" ca="1" si="4"/>
        <v>1.2195223754404636E-2</v>
      </c>
      <c r="M43" s="40">
        <f t="shared" ca="1" si="5"/>
        <v>2.7490775176193624E-2</v>
      </c>
      <c r="N43">
        <f t="shared" ca="1" si="6"/>
        <v>3.1673828323097348</v>
      </c>
    </row>
    <row r="44" spans="11:14">
      <c r="K44">
        <f t="shared" ca="1" si="3"/>
        <v>9.2154060092261347E-2</v>
      </c>
      <c r="L44">
        <f t="shared" ca="1" si="4"/>
        <v>1.3914082122067229E-3</v>
      </c>
      <c r="M44" s="40">
        <f t="shared" ca="1" si="5"/>
        <v>2.0092372881874317E-2</v>
      </c>
      <c r="N44">
        <f t="shared" ca="1" si="6"/>
        <v>0.45561863488046878</v>
      </c>
    </row>
    <row r="45" spans="11:14">
      <c r="K45">
        <f t="shared" ca="1" si="3"/>
        <v>1.7565259929047006E-2</v>
      </c>
      <c r="L45">
        <f t="shared" ca="1" si="4"/>
        <v>2.652129150940586E-4</v>
      </c>
      <c r="M45" s="40">
        <f t="shared" ca="1" si="5"/>
        <v>1.5350985577622947E-2</v>
      </c>
      <c r="N45">
        <f t="shared" ca="1" si="6"/>
        <v>9.8614265291365258E-2</v>
      </c>
    </row>
    <row r="46" spans="11:14">
      <c r="K46">
        <f t="shared" ca="1" si="3"/>
        <v>0.19661449190035418</v>
      </c>
      <c r="L46">
        <f t="shared" ca="1" si="4"/>
        <v>2.9686268667394088E-3</v>
      </c>
      <c r="M46" s="40">
        <f t="shared" ca="1" si="5"/>
        <v>2.248773289821537E-2</v>
      </c>
      <c r="N46">
        <f t="shared" ca="1" si="6"/>
        <v>0.90629306620175021</v>
      </c>
    </row>
    <row r="47" spans="11:14">
      <c r="K47">
        <f t="shared" ca="1" si="3"/>
        <v>3.0924377097815148E-3</v>
      </c>
      <c r="L47">
        <f t="shared" ca="1" si="4"/>
        <v>4.6691846466882709E-5</v>
      </c>
      <c r="M47" s="40">
        <f t="shared" ca="1" si="5"/>
        <v>1.0928306205692344E-2</v>
      </c>
      <c r="N47">
        <f t="shared" ca="1" si="6"/>
        <v>1.9317291974039009E-2</v>
      </c>
    </row>
    <row r="48" spans="11:14">
      <c r="K48">
        <f t="shared" ca="1" si="3"/>
        <v>0.3402299023846137</v>
      </c>
      <c r="L48">
        <f t="shared" ca="1" si="4"/>
        <v>5.1370355222796846E-3</v>
      </c>
      <c r="M48" s="40">
        <f t="shared" ca="1" si="5"/>
        <v>2.4335340452341904E-2</v>
      </c>
      <c r="N48">
        <f t="shared" ca="1" si="6"/>
        <v>1.4812079010975208</v>
      </c>
    </row>
    <row r="49" spans="11:14">
      <c r="K49">
        <f t="shared" ca="1" si="3"/>
        <v>0.61111754485565062</v>
      </c>
      <c r="L49">
        <f t="shared" ca="1" si="4"/>
        <v>9.2270917817886561E-3</v>
      </c>
      <c r="M49" s="40">
        <f t="shared" ca="1" si="5"/>
        <v>2.6436231110888716E-2</v>
      </c>
      <c r="N49">
        <f t="shared" ca="1" si="6"/>
        <v>2.4842619948744327</v>
      </c>
    </row>
    <row r="50" spans="11:14">
      <c r="K50">
        <f t="shared" ca="1" si="3"/>
        <v>0.20933960558129472</v>
      </c>
      <c r="L50">
        <f t="shared" ca="1" si="4"/>
        <v>3.1607597761217883E-3</v>
      </c>
      <c r="M50" s="40">
        <f t="shared" ca="1" si="5"/>
        <v>2.2693793800537584E-2</v>
      </c>
      <c r="N50">
        <f t="shared" ca="1" si="6"/>
        <v>0.95895336673255538</v>
      </c>
    </row>
    <row r="51" spans="11:14">
      <c r="K51">
        <f t="shared" ca="1" si="3"/>
        <v>1.9332783173318213E-2</v>
      </c>
      <c r="L51">
        <f t="shared" ca="1" si="4"/>
        <v>2.9190025100614989E-4</v>
      </c>
      <c r="M51" s="40">
        <f t="shared" ca="1" si="5"/>
        <v>1.5609690573801252E-2</v>
      </c>
      <c r="N51">
        <f t="shared" ca="1" si="6"/>
        <v>0.10782612969741141</v>
      </c>
    </row>
    <row r="52" spans="11:14">
      <c r="K52">
        <f t="shared" ca="1" si="3"/>
        <v>0.97105409724822345</v>
      </c>
      <c r="L52">
        <f t="shared" ca="1" si="4"/>
        <v>1.46616724651682E-2</v>
      </c>
      <c r="M52" s="40">
        <f t="shared" ca="1" si="5"/>
        <v>2.8208879448654078E-2</v>
      </c>
      <c r="N52">
        <f t="shared" ca="1" si="6"/>
        <v>3.7134708500297262</v>
      </c>
    </row>
    <row r="53" spans="11:14">
      <c r="K53">
        <f t="shared" ca="1" si="3"/>
        <v>0.14910341470518518</v>
      </c>
      <c r="L53">
        <f t="shared" ca="1" si="4"/>
        <v>2.251270486413231E-3</v>
      </c>
      <c r="M53" s="40">
        <f t="shared" ca="1" si="5"/>
        <v>2.1593763196999807E-2</v>
      </c>
      <c r="N53">
        <f t="shared" ca="1" si="6"/>
        <v>0.70585898898268484</v>
      </c>
    </row>
    <row r="54" spans="11:14">
      <c r="K54">
        <f t="shared" ca="1" si="3"/>
        <v>4.984359485428258E-2</v>
      </c>
      <c r="L54">
        <f t="shared" ca="1" si="4"/>
        <v>7.5257440786352778E-4</v>
      </c>
      <c r="M54" s="40">
        <f t="shared" ca="1" si="5"/>
        <v>1.826311019089371E-2</v>
      </c>
      <c r="N54">
        <f t="shared" ca="1" si="6"/>
        <v>0.25926120266245489</v>
      </c>
    </row>
    <row r="55" spans="11:14">
      <c r="K55">
        <f t="shared" ca="1" si="3"/>
        <v>0.83625789374585557</v>
      </c>
      <c r="L55">
        <f t="shared" ca="1" si="4"/>
        <v>1.262642253326386E-2</v>
      </c>
      <c r="M55" s="40">
        <f t="shared" ca="1" si="5"/>
        <v>2.7624872211045516E-2</v>
      </c>
      <c r="N55">
        <f t="shared" ca="1" si="6"/>
        <v>3.2641517724173741</v>
      </c>
    </row>
    <row r="56" spans="11:14">
      <c r="K56">
        <f t="shared" ca="1" si="3"/>
        <v>0.34233258817352141</v>
      </c>
      <c r="L56">
        <f t="shared" ca="1" si="4"/>
        <v>5.1687833831058645E-3</v>
      </c>
      <c r="M56" s="40">
        <f t="shared" ca="1" si="5"/>
        <v>2.4356715495540041E-2</v>
      </c>
      <c r="N56">
        <f t="shared" ca="1" si="6"/>
        <v>1.4893524853317432</v>
      </c>
    </row>
    <row r="57" spans="11:14">
      <c r="K57">
        <f t="shared" ca="1" si="3"/>
        <v>0.3998667217860824</v>
      </c>
      <c r="L57">
        <f t="shared" ca="1" si="4"/>
        <v>6.0374750708141389E-3</v>
      </c>
      <c r="M57" s="40">
        <f t="shared" ca="1" si="5"/>
        <v>2.4900536382773467E-2</v>
      </c>
      <c r="N57">
        <f t="shared" ca="1" si="6"/>
        <v>1.7096972078811226</v>
      </c>
    </row>
    <row r="58" spans="11:14">
      <c r="K58">
        <f t="shared" ca="1" si="3"/>
        <v>0.75223655629362973</v>
      </c>
      <c r="L58">
        <f t="shared" ca="1" si="4"/>
        <v>1.1357808010858931E-2</v>
      </c>
      <c r="M58" s="40">
        <f t="shared" ca="1" si="5"/>
        <v>2.721815980986254E-2</v>
      </c>
      <c r="N58">
        <f t="shared" ca="1" si="6"/>
        <v>2.9777573215807966</v>
      </c>
    </row>
    <row r="59" spans="11:14">
      <c r="K59">
        <f t="shared" ca="1" si="3"/>
        <v>0.89796574789019734</v>
      </c>
      <c r="L59">
        <f t="shared" ca="1" si="4"/>
        <v>1.3558132052390103E-2</v>
      </c>
      <c r="M59" s="40">
        <f t="shared" ca="1" si="5"/>
        <v>2.7901599358752832E-2</v>
      </c>
      <c r="N59">
        <f t="shared" ca="1" si="6"/>
        <v>3.4713206012192175</v>
      </c>
    </row>
    <row r="60" spans="11:14">
      <c r="K60">
        <f t="shared" ca="1" si="3"/>
        <v>0.43186742203929962</v>
      </c>
      <c r="L60">
        <f t="shared" ca="1" si="4"/>
        <v>6.5206446358242352E-3</v>
      </c>
      <c r="M60" s="40">
        <f t="shared" ca="1" si="5"/>
        <v>2.5173602246200674E-2</v>
      </c>
      <c r="N60">
        <f t="shared" ca="1" si="6"/>
        <v>1.8303029976501817</v>
      </c>
    </row>
    <row r="61" spans="11:14">
      <c r="K61">
        <f t="shared" ca="1" si="3"/>
        <v>0.19058679352216501</v>
      </c>
      <c r="L61">
        <f t="shared" ca="1" si="4"/>
        <v>2.8776163457084223E-3</v>
      </c>
      <c r="M61" s="40">
        <f t="shared" ca="1" si="5"/>
        <v>2.2385897193147784E-2</v>
      </c>
      <c r="N61">
        <f t="shared" ca="1" si="6"/>
        <v>0.88120788474882339</v>
      </c>
    </row>
    <row r="62" spans="11:14">
      <c r="K62">
        <f t="shared" ca="1" si="3"/>
        <v>0.28114806965287542</v>
      </c>
      <c r="L62">
        <f t="shared" ca="1" si="4"/>
        <v>4.2449755612441976E-3</v>
      </c>
      <c r="M62" s="40">
        <f t="shared" ca="1" si="5"/>
        <v>2.3680626272887882E-2</v>
      </c>
      <c r="N62">
        <f t="shared" ca="1" si="6"/>
        <v>1.2494262998583006</v>
      </c>
    </row>
    <row r="63" spans="11:14">
      <c r="K63">
        <f t="shared" ca="1" si="3"/>
        <v>0.84526403627527069</v>
      </c>
      <c r="L63">
        <f t="shared" ca="1" si="4"/>
        <v>1.2762403744109987E-2</v>
      </c>
      <c r="M63" s="40">
        <f t="shared" ca="1" si="5"/>
        <v>2.7666338344021026E-2</v>
      </c>
      <c r="N63">
        <f t="shared" ca="1" si="6"/>
        <v>3.294549505482431</v>
      </c>
    </row>
    <row r="64" spans="11:14">
      <c r="K64">
        <f t="shared" ca="1" si="3"/>
        <v>0.85947155447060875</v>
      </c>
      <c r="L64">
        <f t="shared" ca="1" si="4"/>
        <v>1.297691906196227E-2</v>
      </c>
      <c r="M64" s="40">
        <f t="shared" ca="1" si="5"/>
        <v>2.773098208955431E-2</v>
      </c>
      <c r="N64">
        <f t="shared" ca="1" si="6"/>
        <v>3.3423891288098702</v>
      </c>
    </row>
    <row r="65" spans="11:14">
      <c r="K65">
        <f t="shared" ca="1" si="3"/>
        <v>0.12213637688001222</v>
      </c>
      <c r="L65">
        <f t="shared" ca="1" si="4"/>
        <v>1.8441027734413971E-3</v>
      </c>
      <c r="M65" s="40">
        <f t="shared" ca="1" si="5"/>
        <v>2.0963332901454822E-2</v>
      </c>
      <c r="N65">
        <f t="shared" ca="1" si="6"/>
        <v>0.58895321591258554</v>
      </c>
    </row>
    <row r="66" spans="11:14">
      <c r="K66">
        <f t="shared" ca="1" si="3"/>
        <v>0.48438075157646676</v>
      </c>
      <c r="L66">
        <f t="shared" ca="1" si="4"/>
        <v>7.3135286161413226E-3</v>
      </c>
      <c r="M66" s="40">
        <f t="shared" ca="1" si="5"/>
        <v>2.5585165123839869E-2</v>
      </c>
      <c r="N66">
        <f t="shared" ca="1" si="6"/>
        <v>2.0254883715811349</v>
      </c>
    </row>
    <row r="67" spans="11:14">
      <c r="K67">
        <f t="shared" ca="1" si="3"/>
        <v>0.41002119235331846</v>
      </c>
      <c r="L67">
        <f t="shared" ca="1" si="4"/>
        <v>6.1907945634519911E-3</v>
      </c>
      <c r="M67" s="40">
        <f t="shared" ca="1" si="5"/>
        <v>2.4989219601350567E-2</v>
      </c>
      <c r="N67">
        <f t="shared" ca="1" si="6"/>
        <v>1.7481113420611092</v>
      </c>
    </row>
    <row r="68" spans="11:14">
      <c r="K68">
        <f t="shared" ref="K68:K130" ca="1" si="8">RAND()</f>
        <v>0.91507393982012142</v>
      </c>
      <c r="L68">
        <f t="shared" ref="L68:L130" ca="1" si="9">K68/SUM($K$3:$K$130)</f>
        <v>1.3816443826428848E-2</v>
      </c>
      <c r="M68" s="40">
        <f t="shared" ref="M68:M130" ca="1" si="10">_xlfn.NORM.INV(L68, 5%, 1%)</f>
        <v>2.7975407936744016E-2</v>
      </c>
      <c r="N68">
        <f t="shared" ref="N68:N130" ca="1" si="11">_xlfn.NORM.DIST(M68, 5%, 1%,FALSE)</f>
        <v>3.5283077851187854</v>
      </c>
    </row>
    <row r="69" spans="11:14">
      <c r="K69">
        <f t="shared" ca="1" si="8"/>
        <v>0.5423777640638644</v>
      </c>
      <c r="L69">
        <f t="shared" ca="1" si="9"/>
        <v>8.189209181681565E-3</v>
      </c>
      <c r="M69" s="40">
        <f t="shared" ca="1" si="10"/>
        <v>2.5996280136054616E-2</v>
      </c>
      <c r="N69">
        <f t="shared" ca="1" si="11"/>
        <v>2.2374544563360916</v>
      </c>
    </row>
    <row r="70" spans="11:14">
      <c r="K70">
        <f t="shared" ca="1" si="8"/>
        <v>7.793279384743268E-2</v>
      </c>
      <c r="L70">
        <f t="shared" ca="1" si="9"/>
        <v>1.1766853164252213E-3</v>
      </c>
      <c r="M70" s="40">
        <f t="shared" ca="1" si="10"/>
        <v>1.9584162202592591E-2</v>
      </c>
      <c r="N70">
        <f t="shared" ca="1" si="11"/>
        <v>0.3908684221749798</v>
      </c>
    </row>
    <row r="71" spans="11:14">
      <c r="K71">
        <f t="shared" ca="1" si="8"/>
        <v>0.64393883785142036</v>
      </c>
      <c r="L71">
        <f t="shared" ca="1" si="9"/>
        <v>9.7226512456238465E-3</v>
      </c>
      <c r="M71" s="40">
        <f t="shared" ca="1" si="10"/>
        <v>2.6631176531142973E-2</v>
      </c>
      <c r="N71">
        <f t="shared" ca="1" si="11"/>
        <v>2.6005477637165897</v>
      </c>
    </row>
    <row r="72" spans="11:14">
      <c r="K72">
        <f t="shared" ca="1" si="8"/>
        <v>0.40004631605396002</v>
      </c>
      <c r="L72">
        <f t="shared" ca="1" si="9"/>
        <v>6.0401867141095071E-3</v>
      </c>
      <c r="M72" s="40">
        <f t="shared" ca="1" si="10"/>
        <v>2.4902122104328551E-2</v>
      </c>
      <c r="N72">
        <f t="shared" ca="1" si="11"/>
        <v>1.7103777943024894</v>
      </c>
    </row>
    <row r="73" spans="11:14">
      <c r="K73">
        <f t="shared" ca="1" si="8"/>
        <v>0.93678092312369854</v>
      </c>
      <c r="L73">
        <f t="shared" ca="1" si="9"/>
        <v>1.4144191456870665E-2</v>
      </c>
      <c r="M73" s="40">
        <f t="shared" ca="1" si="10"/>
        <v>2.8067362655252618E-2</v>
      </c>
      <c r="N73">
        <f t="shared" ca="1" si="11"/>
        <v>3.600341666437441</v>
      </c>
    </row>
    <row r="74" spans="11:14">
      <c r="K74">
        <f t="shared" ca="1" si="8"/>
        <v>0.45997125782858506</v>
      </c>
      <c r="L74">
        <f t="shared" ca="1" si="9"/>
        <v>6.9449765412505559E-3</v>
      </c>
      <c r="M74" s="40">
        <f t="shared" ca="1" si="10"/>
        <v>2.5399031595455999E-2</v>
      </c>
      <c r="N74">
        <f t="shared" ca="1" si="11"/>
        <v>1.935166599244964</v>
      </c>
    </row>
    <row r="75" spans="11:14">
      <c r="K75">
        <f t="shared" ca="1" si="8"/>
        <v>0.69801289510406317</v>
      </c>
      <c r="L75">
        <f t="shared" ca="1" si="9"/>
        <v>1.0539100214376141E-2</v>
      </c>
      <c r="M75" s="40">
        <f t="shared" ca="1" si="10"/>
        <v>2.693419191135844E-2</v>
      </c>
      <c r="N75">
        <f t="shared" ca="1" si="11"/>
        <v>2.7900907965587991</v>
      </c>
    </row>
    <row r="76" spans="11:14">
      <c r="K76">
        <f t="shared" ca="1" si="8"/>
        <v>0.17659957347680466</v>
      </c>
      <c r="L76">
        <f t="shared" ca="1" si="9"/>
        <v>2.666427247609301E-3</v>
      </c>
      <c r="M76" s="40">
        <f t="shared" ca="1" si="10"/>
        <v>2.2137914205470736E-2</v>
      </c>
      <c r="N76">
        <f t="shared" ca="1" si="11"/>
        <v>0.82263105526679203</v>
      </c>
    </row>
    <row r="77" spans="11:14">
      <c r="K77">
        <f t="shared" ca="1" si="8"/>
        <v>0.45898149236737917</v>
      </c>
      <c r="L77">
        <f t="shared" ca="1" si="9"/>
        <v>6.9300323511681909E-3</v>
      </c>
      <c r="M77" s="40">
        <f t="shared" ca="1" si="10"/>
        <v>2.5391301819107499E-2</v>
      </c>
      <c r="N77">
        <f t="shared" ca="1" si="11"/>
        <v>1.9314896063713327</v>
      </c>
    </row>
    <row r="78" spans="11:14">
      <c r="K78">
        <f t="shared" ca="1" si="8"/>
        <v>0.16551085226984874</v>
      </c>
      <c r="L78">
        <f t="shared" ca="1" si="9"/>
        <v>2.4990017675514242E-3</v>
      </c>
      <c r="M78" s="40">
        <f t="shared" ca="1" si="10"/>
        <v>2.1928375850367613E-2</v>
      </c>
      <c r="N78">
        <f t="shared" ca="1" si="11"/>
        <v>0.77580912716114381</v>
      </c>
    </row>
    <row r="79" spans="11:14">
      <c r="K79">
        <f t="shared" ca="1" si="8"/>
        <v>0.78992808991599717</v>
      </c>
      <c r="L79">
        <f t="shared" ca="1" si="9"/>
        <v>1.1926901866955152E-2</v>
      </c>
      <c r="M79" s="40">
        <f t="shared" ca="1" si="10"/>
        <v>2.740524195842256E-2</v>
      </c>
      <c r="N79">
        <f t="shared" ca="1" si="11"/>
        <v>3.1068712721545046</v>
      </c>
    </row>
    <row r="80" spans="11:14">
      <c r="K80">
        <f t="shared" ca="1" si="8"/>
        <v>0.56181114589463854</v>
      </c>
      <c r="L80">
        <f t="shared" ca="1" si="9"/>
        <v>8.4826283434983833E-3</v>
      </c>
      <c r="M80" s="40">
        <f t="shared" ca="1" si="10"/>
        <v>2.6125401703502599E-2</v>
      </c>
      <c r="N80">
        <f t="shared" ca="1" si="11"/>
        <v>2.3076955603574079</v>
      </c>
    </row>
    <row r="81" spans="11:14">
      <c r="K81">
        <f t="shared" ca="1" si="8"/>
        <v>0.46808477487868172</v>
      </c>
      <c r="L81">
        <f t="shared" ca="1" si="9"/>
        <v>7.0674802512561861E-3</v>
      </c>
      <c r="M81" s="40">
        <f t="shared" ca="1" si="10"/>
        <v>2.5461848097623682E-2</v>
      </c>
      <c r="N81">
        <f t="shared" ca="1" si="11"/>
        <v>1.9652651229934213</v>
      </c>
    </row>
    <row r="82" spans="11:14">
      <c r="K82">
        <f t="shared" ca="1" si="8"/>
        <v>0.85645867786373087</v>
      </c>
      <c r="L82">
        <f t="shared" ca="1" si="9"/>
        <v>1.2931428486191887E-2</v>
      </c>
      <c r="M82" s="40">
        <f t="shared" ca="1" si="10"/>
        <v>2.7717351220895293E-2</v>
      </c>
      <c r="N82">
        <f t="shared" ca="1" si="11"/>
        <v>3.3322557255326686</v>
      </c>
    </row>
    <row r="83" spans="11:14">
      <c r="K83">
        <f t="shared" ca="1" si="8"/>
        <v>0.92688257177917288</v>
      </c>
      <c r="L83">
        <f t="shared" ca="1" si="9"/>
        <v>1.3994739036279628E-2</v>
      </c>
      <c r="M83" s="40">
        <f t="shared" ca="1" si="10"/>
        <v>2.8025661793566799E-2</v>
      </c>
      <c r="N83">
        <f t="shared" ca="1" si="11"/>
        <v>3.5675316950987148</v>
      </c>
    </row>
    <row r="84" spans="11:14">
      <c r="K84">
        <f t="shared" ca="1" si="8"/>
        <v>0.77083122689046957</v>
      </c>
      <c r="L84">
        <f t="shared" ca="1" si="9"/>
        <v>1.1638563707849589E-2</v>
      </c>
      <c r="M84" s="40">
        <f t="shared" ca="1" si="10"/>
        <v>2.7311447104899099E-2</v>
      </c>
      <c r="N84">
        <f t="shared" ca="1" si="11"/>
        <v>3.0415872181969119</v>
      </c>
    </row>
    <row r="85" spans="11:14">
      <c r="K85">
        <f t="shared" ca="1" si="8"/>
        <v>2.36619959041936E-2</v>
      </c>
      <c r="L85">
        <f t="shared" ca="1" si="9"/>
        <v>3.5726581536760281E-4</v>
      </c>
      <c r="M85" s="40">
        <f t="shared" ca="1" si="10"/>
        <v>1.6160582593665491E-2</v>
      </c>
      <c r="N85">
        <f t="shared" ca="1" si="11"/>
        <v>0.13011986703821196</v>
      </c>
    </row>
    <row r="86" spans="11:14">
      <c r="K86">
        <f t="shared" ca="1" si="8"/>
        <v>0.92524653074411889</v>
      </c>
      <c r="L86">
        <f t="shared" ca="1" si="9"/>
        <v>1.3970036913232609E-2</v>
      </c>
      <c r="M86" s="40">
        <f t="shared" ca="1" si="10"/>
        <v>2.8018732370422621E-2</v>
      </c>
      <c r="N86">
        <f t="shared" ca="1" si="11"/>
        <v>3.5621027113961135</v>
      </c>
    </row>
    <row r="87" spans="11:14">
      <c r="K87">
        <f t="shared" ca="1" si="8"/>
        <v>0.21548907754022295</v>
      </c>
      <c r="L87">
        <f t="shared" ca="1" si="9"/>
        <v>3.2536089221694101E-3</v>
      </c>
      <c r="M87" s="40">
        <f t="shared" ca="1" si="10"/>
        <v>2.2789360841708337E-2</v>
      </c>
      <c r="N87">
        <f t="shared" ca="1" si="11"/>
        <v>0.98426238679325795</v>
      </c>
    </row>
    <row r="88" spans="11:14">
      <c r="K88">
        <f t="shared" ca="1" si="8"/>
        <v>0.81250740151450529</v>
      </c>
      <c r="L88">
        <f t="shared" ca="1" si="9"/>
        <v>1.2267820536764003E-2</v>
      </c>
      <c r="M88" s="40">
        <f t="shared" ca="1" si="10"/>
        <v>2.7513636390735972E-2</v>
      </c>
      <c r="N88">
        <f t="shared" ca="1" si="11"/>
        <v>3.1837154998994199</v>
      </c>
    </row>
    <row r="89" spans="11:14">
      <c r="K89">
        <f t="shared" ca="1" si="8"/>
        <v>0.99273411124692001</v>
      </c>
      <c r="L89">
        <f t="shared" ca="1" si="9"/>
        <v>1.4989012893667412E-2</v>
      </c>
      <c r="M89" s="40">
        <f t="shared" ca="1" si="10"/>
        <v>2.8296194074280249E-2</v>
      </c>
      <c r="N89">
        <f t="shared" ca="1" si="11"/>
        <v>3.7846586371129667</v>
      </c>
    </row>
    <row r="90" spans="11:14">
      <c r="K90">
        <f t="shared" ca="1" si="8"/>
        <v>0.36156114373731418</v>
      </c>
      <c r="L90">
        <f t="shared" ca="1" si="9"/>
        <v>5.4591099307755887E-3</v>
      </c>
      <c r="M90" s="40">
        <f t="shared" ca="1" si="10"/>
        <v>2.4546945920189567E-2</v>
      </c>
      <c r="N90">
        <f t="shared" ca="1" si="11"/>
        <v>1.5635233665552843</v>
      </c>
    </row>
    <row r="91" spans="11:14">
      <c r="K91">
        <f t="shared" ca="1" si="8"/>
        <v>0.31015707527571357</v>
      </c>
      <c r="L91">
        <f t="shared" ca="1" si="9"/>
        <v>4.6829743711843952E-3</v>
      </c>
      <c r="M91" s="40">
        <f t="shared" ca="1" si="10"/>
        <v>2.4016006113912691E-2</v>
      </c>
      <c r="N91">
        <f t="shared" ca="1" si="11"/>
        <v>1.3639596289268654</v>
      </c>
    </row>
    <row r="92" spans="11:14">
      <c r="K92">
        <f t="shared" ca="1" si="8"/>
        <v>0.30640031191656103</v>
      </c>
      <c r="L92">
        <f t="shared" ca="1" si="9"/>
        <v>4.6262520587435881E-3</v>
      </c>
      <c r="M92" s="40">
        <f t="shared" ca="1" si="10"/>
        <v>2.3974193167529013E-2</v>
      </c>
      <c r="N92">
        <f t="shared" ca="1" si="11"/>
        <v>1.349209069585745</v>
      </c>
    </row>
    <row r="93" spans="11:14">
      <c r="K93">
        <f t="shared" ca="1" si="8"/>
        <v>3.0594922997383533E-2</v>
      </c>
      <c r="L93">
        <f t="shared" ca="1" si="9"/>
        <v>4.6194412994687574E-4</v>
      </c>
      <c r="M93" s="40">
        <f t="shared" ca="1" si="10"/>
        <v>1.6872660678053347E-2</v>
      </c>
      <c r="N93">
        <f t="shared" ca="1" si="11"/>
        <v>0.16515490951539405</v>
      </c>
    </row>
    <row r="94" spans="11:14">
      <c r="K94">
        <f t="shared" ca="1" si="8"/>
        <v>0.16121602681330482</v>
      </c>
      <c r="L94">
        <f t="shared" ca="1" si="9"/>
        <v>2.4341554069651746E-3</v>
      </c>
      <c r="M94" s="40">
        <f t="shared" ca="1" si="10"/>
        <v>2.1843793148176961E-2</v>
      </c>
      <c r="N94">
        <f t="shared" ca="1" si="11"/>
        <v>0.7575783848291493</v>
      </c>
    </row>
    <row r="95" spans="11:14">
      <c r="K95">
        <f t="shared" ca="1" si="8"/>
        <v>0.90682071072138182</v>
      </c>
      <c r="L95">
        <f t="shared" ca="1" si="9"/>
        <v>1.3691830643529334E-2</v>
      </c>
      <c r="M95" s="40">
        <f t="shared" ca="1" si="10"/>
        <v>2.7939951665997127E-2</v>
      </c>
      <c r="N95">
        <f t="shared" ca="1" si="11"/>
        <v>3.5008401771100499</v>
      </c>
    </row>
    <row r="96" spans="11:14">
      <c r="K96">
        <f t="shared" ca="1" si="8"/>
        <v>0.65658016319326606</v>
      </c>
      <c r="L96">
        <f t="shared" ca="1" si="9"/>
        <v>9.9135190584604301E-3</v>
      </c>
      <c r="M96" s="40">
        <f t="shared" ca="1" si="10"/>
        <v>2.6703950088013649E-2</v>
      </c>
      <c r="N96">
        <f t="shared" ca="1" si="11"/>
        <v>2.6450816787668412</v>
      </c>
    </row>
    <row r="97" spans="11:14">
      <c r="K97">
        <f t="shared" ca="1" si="8"/>
        <v>0.28946682874439633</v>
      </c>
      <c r="L97">
        <f t="shared" ca="1" si="9"/>
        <v>4.3705781630581954E-3</v>
      </c>
      <c r="M97" s="40">
        <f t="shared" ca="1" si="10"/>
        <v>2.3779849204773346E-2</v>
      </c>
      <c r="N97">
        <f t="shared" ca="1" si="11"/>
        <v>1.2824215340467848</v>
      </c>
    </row>
    <row r="98" spans="11:14">
      <c r="K98">
        <f t="shared" ca="1" si="8"/>
        <v>0.68539289321134744</v>
      </c>
      <c r="L98">
        <f t="shared" ca="1" si="9"/>
        <v>1.0348554358295474E-2</v>
      </c>
      <c r="M98" s="40">
        <f t="shared" ca="1" si="10"/>
        <v>2.6865353966503219E-2</v>
      </c>
      <c r="N98">
        <f t="shared" ca="1" si="11"/>
        <v>2.7460744449639156</v>
      </c>
    </row>
    <row r="99" spans="11:14">
      <c r="K99">
        <f t="shared" ca="1" si="8"/>
        <v>0.44084599417964521</v>
      </c>
      <c r="L99">
        <f t="shared" ca="1" si="9"/>
        <v>6.6562095691267932E-3</v>
      </c>
      <c r="M99" s="40">
        <f t="shared" ca="1" si="10"/>
        <v>2.5246997094676676E-2</v>
      </c>
      <c r="N99">
        <f t="shared" ca="1" si="11"/>
        <v>1.8639089875108883</v>
      </c>
    </row>
    <row r="100" spans="11:14">
      <c r="K100">
        <f t="shared" ca="1" si="8"/>
        <v>0.70203867661625419</v>
      </c>
      <c r="L100">
        <f t="shared" ca="1" si="9"/>
        <v>1.059988435618177E-2</v>
      </c>
      <c r="M100" s="40">
        <f t="shared" ca="1" si="10"/>
        <v>2.695592309569303E-2</v>
      </c>
      <c r="N100">
        <f t="shared" ca="1" si="11"/>
        <v>2.80410453998413</v>
      </c>
    </row>
    <row r="101" spans="11:14">
      <c r="K101">
        <f t="shared" ca="1" si="8"/>
        <v>0.73229220291639163</v>
      </c>
      <c r="L101">
        <f t="shared" ca="1" si="9"/>
        <v>1.1056673833499203E-2</v>
      </c>
      <c r="M101" s="40">
        <f t="shared" ca="1" si="10"/>
        <v>2.7115847031979976E-2</v>
      </c>
      <c r="N101">
        <f t="shared" ca="1" si="11"/>
        <v>2.9089999649513656</v>
      </c>
    </row>
    <row r="102" spans="11:14">
      <c r="K102">
        <f t="shared" ca="1" si="8"/>
        <v>0.79733250093495822</v>
      </c>
      <c r="L102">
        <f t="shared" ca="1" si="9"/>
        <v>1.2038698984608152E-2</v>
      </c>
      <c r="M102" s="40">
        <f t="shared" ca="1" si="10"/>
        <v>2.7441080367340061E-2</v>
      </c>
      <c r="N102">
        <f t="shared" ca="1" si="11"/>
        <v>3.132111500216296</v>
      </c>
    </row>
    <row r="103" spans="11:14">
      <c r="K103">
        <f t="shared" ca="1" si="8"/>
        <v>6.788250439968424E-2</v>
      </c>
      <c r="L103">
        <f t="shared" ca="1" si="9"/>
        <v>1.0249388251838E-3</v>
      </c>
      <c r="M103" s="40">
        <f t="shared" ca="1" si="10"/>
        <v>1.9170909083513939E-2</v>
      </c>
      <c r="N103">
        <f t="shared" ca="1" si="11"/>
        <v>0.34440651801323291</v>
      </c>
    </row>
    <row r="104" spans="11:14">
      <c r="K104">
        <f t="shared" ca="1" si="8"/>
        <v>0.55304253937222303</v>
      </c>
      <c r="L104">
        <f t="shared" ca="1" si="9"/>
        <v>8.3502336219561813E-3</v>
      </c>
      <c r="M104" s="40">
        <f t="shared" ca="1" si="10"/>
        <v>2.606763388333656E-2</v>
      </c>
      <c r="N104">
        <f t="shared" ca="1" si="11"/>
        <v>2.2760486996588196</v>
      </c>
    </row>
    <row r="105" spans="11:14">
      <c r="K105">
        <f t="shared" ca="1" si="8"/>
        <v>0.80831916021438499</v>
      </c>
      <c r="L105">
        <f t="shared" ca="1" si="9"/>
        <v>1.2204583460352433E-2</v>
      </c>
      <c r="M105" s="40">
        <f t="shared" ca="1" si="10"/>
        <v>2.7493729222210831E-2</v>
      </c>
      <c r="N105">
        <f t="shared" ca="1" si="11"/>
        <v>3.1694894913040446</v>
      </c>
    </row>
    <row r="106" spans="11:14">
      <c r="K106">
        <f t="shared" ca="1" si="8"/>
        <v>0.33328900404103179</v>
      </c>
      <c r="L106">
        <f t="shared" ca="1" si="9"/>
        <v>5.0322368520346293E-3</v>
      </c>
      <c r="M106" s="40">
        <f t="shared" ca="1" si="10"/>
        <v>2.4263937421486886E-2</v>
      </c>
      <c r="N106">
        <f t="shared" ca="1" si="11"/>
        <v>1.454274378886278</v>
      </c>
    </row>
    <row r="107" spans="11:14">
      <c r="K107">
        <f t="shared" ca="1" si="8"/>
        <v>0.93559560131534825</v>
      </c>
      <c r="L107">
        <f t="shared" ca="1" si="9"/>
        <v>1.4126294616551367E-2</v>
      </c>
      <c r="M107" s="40">
        <f t="shared" ca="1" si="10"/>
        <v>2.8062389070584729E-2</v>
      </c>
      <c r="N107">
        <f t="shared" ca="1" si="11"/>
        <v>3.5964159723777067</v>
      </c>
    </row>
    <row r="108" spans="11:14">
      <c r="K108">
        <f t="shared" ca="1" si="8"/>
        <v>0.88906142265882993</v>
      </c>
      <c r="L108">
        <f t="shared" ca="1" si="9"/>
        <v>1.3423688152265897E-2</v>
      </c>
      <c r="M108" s="40">
        <f t="shared" ca="1" si="10"/>
        <v>2.7862702669996423E-2</v>
      </c>
      <c r="N108">
        <f t="shared" ca="1" si="11"/>
        <v>3.4415845399103833</v>
      </c>
    </row>
    <row r="109" spans="11:14">
      <c r="K109">
        <f t="shared" ca="1" si="8"/>
        <v>0.48004908031120996</v>
      </c>
      <c r="L109">
        <f t="shared" ca="1" si="9"/>
        <v>7.2481259310613151E-3</v>
      </c>
      <c r="M109" s="40">
        <f t="shared" ca="1" si="10"/>
        <v>2.555274728053052E-2</v>
      </c>
      <c r="N109">
        <f t="shared" ca="1" si="11"/>
        <v>2.0095098269377165</v>
      </c>
    </row>
    <row r="110" spans="11:14">
      <c r="K110">
        <f t="shared" ca="1" si="8"/>
        <v>0.27844888583274718</v>
      </c>
      <c r="L110">
        <f t="shared" ca="1" si="9"/>
        <v>4.2042213445572501E-3</v>
      </c>
      <c r="M110" s="40">
        <f t="shared" ca="1" si="10"/>
        <v>2.3647867050441727E-2</v>
      </c>
      <c r="N110">
        <f t="shared" ca="1" si="11"/>
        <v>1.2386933794751573</v>
      </c>
    </row>
    <row r="111" spans="11:14">
      <c r="K111">
        <f t="shared" ca="1" si="8"/>
        <v>0.50110516505890901</v>
      </c>
      <c r="L111">
        <f t="shared" ca="1" si="9"/>
        <v>7.5660458274341659E-3</v>
      </c>
      <c r="M111" s="40">
        <f t="shared" ca="1" si="10"/>
        <v>2.5707978276775317E-2</v>
      </c>
      <c r="N111">
        <f t="shared" ca="1" si="11"/>
        <v>2.0869841966285274</v>
      </c>
    </row>
    <row r="112" spans="11:14">
      <c r="K112">
        <f t="shared" ca="1" si="8"/>
        <v>0.23440617932244889</v>
      </c>
      <c r="L112">
        <f t="shared" ca="1" si="9"/>
        <v>3.5392329168646799E-3</v>
      </c>
      <c r="M112" s="40">
        <f t="shared" ca="1" si="10"/>
        <v>2.3068699773778706E-2</v>
      </c>
      <c r="N112">
        <f t="shared" ca="1" si="11"/>
        <v>1.0615785446154267</v>
      </c>
    </row>
    <row r="113" spans="11:14">
      <c r="K113">
        <f t="shared" ca="1" si="8"/>
        <v>0.51396126776815465</v>
      </c>
      <c r="L113">
        <f t="shared" ca="1" si="9"/>
        <v>7.7601565032818561E-3</v>
      </c>
      <c r="M113" s="40">
        <f t="shared" ca="1" si="10"/>
        <v>2.5799954524576035E-2</v>
      </c>
      <c r="N113">
        <f t="shared" ca="1" si="11"/>
        <v>2.1340480045304413</v>
      </c>
    </row>
    <row r="114" spans="11:14">
      <c r="K114">
        <f t="shared" ca="1" si="8"/>
        <v>0.75545485170439775</v>
      </c>
      <c r="L114">
        <f t="shared" ca="1" si="9"/>
        <v>1.1406400147324395E-2</v>
      </c>
      <c r="M114" s="40">
        <f t="shared" ca="1" si="10"/>
        <v>2.7234447926132034E-2</v>
      </c>
      <c r="N114">
        <f t="shared" ca="1" si="11"/>
        <v>2.9888235446369018</v>
      </c>
    </row>
    <row r="115" spans="11:14">
      <c r="K115">
        <f t="shared" ca="1" si="8"/>
        <v>0.93433608490122133</v>
      </c>
      <c r="L115">
        <f t="shared" ca="1" si="9"/>
        <v>1.4107277532765033E-2</v>
      </c>
      <c r="M115" s="40">
        <f t="shared" ca="1" si="10"/>
        <v>2.8057098213408526E-2</v>
      </c>
      <c r="N115">
        <f t="shared" ca="1" si="11"/>
        <v>3.5922435755405031</v>
      </c>
    </row>
    <row r="116" spans="11:14">
      <c r="K116">
        <f t="shared" ca="1" si="8"/>
        <v>3.4896953571667111E-2</v>
      </c>
      <c r="L116">
        <f t="shared" ca="1" si="9"/>
        <v>5.268992785776547E-4</v>
      </c>
      <c r="M116" s="40">
        <f t="shared" ca="1" si="10"/>
        <v>1.7242447904480741E-2</v>
      </c>
      <c r="N116">
        <f t="shared" ca="1" si="11"/>
        <v>0.18655028647481284</v>
      </c>
    </row>
    <row r="117" spans="11:14">
      <c r="K117">
        <f t="shared" ca="1" si="8"/>
        <v>0.93519310265715017</v>
      </c>
      <c r="L117">
        <f t="shared" ca="1" si="9"/>
        <v>1.4120217402613551E-2</v>
      </c>
      <c r="M117" s="40">
        <f t="shared" ca="1" si="10"/>
        <v>2.80606989600116E-2</v>
      </c>
      <c r="N117">
        <f t="shared" ca="1" si="11"/>
        <v>3.5950827254760438</v>
      </c>
    </row>
    <row r="118" spans="11:14">
      <c r="K118">
        <f t="shared" ca="1" si="8"/>
        <v>0.63526116636191154</v>
      </c>
      <c r="L118">
        <f t="shared" ca="1" si="9"/>
        <v>9.5916295265455285E-3</v>
      </c>
      <c r="M118" s="40">
        <f t="shared" ca="1" si="10"/>
        <v>2.6580495015385706E-2</v>
      </c>
      <c r="N118">
        <f t="shared" ca="1" si="11"/>
        <v>2.5698963931923156</v>
      </c>
    </row>
    <row r="119" spans="11:14">
      <c r="K119">
        <f t="shared" ca="1" si="8"/>
        <v>0.74861547054828281</v>
      </c>
      <c r="L119">
        <f t="shared" ca="1" si="9"/>
        <v>1.1303134256516082E-2</v>
      </c>
      <c r="M119" s="40">
        <f t="shared" ca="1" si="10"/>
        <v>2.7199760576174289E-2</v>
      </c>
      <c r="N119">
        <f t="shared" ca="1" si="11"/>
        <v>2.9652966079798353</v>
      </c>
    </row>
    <row r="120" spans="11:14">
      <c r="K120">
        <f t="shared" ca="1" si="8"/>
        <v>0.96986974709235074</v>
      </c>
      <c r="L120">
        <f t="shared" ca="1" si="9"/>
        <v>1.4643790295556141E-2</v>
      </c>
      <c r="M120" s="40">
        <f t="shared" ca="1" si="10"/>
        <v>2.8204061433403708E-2</v>
      </c>
      <c r="N120">
        <f t="shared" ca="1" si="11"/>
        <v>3.7095736941849253</v>
      </c>
    </row>
    <row r="121" spans="11:14">
      <c r="K121">
        <f t="shared" ca="1" si="8"/>
        <v>0.48907923747709869</v>
      </c>
      <c r="L121">
        <f t="shared" ca="1" si="9"/>
        <v>7.3844697321434997E-3</v>
      </c>
      <c r="M121" s="40">
        <f t="shared" ca="1" si="10"/>
        <v>2.5620040497917086E-2</v>
      </c>
      <c r="N121">
        <f t="shared" ca="1" si="11"/>
        <v>2.042796139879846</v>
      </c>
    </row>
    <row r="122" spans="11:14">
      <c r="K122">
        <f t="shared" ca="1" si="8"/>
        <v>0.55386471296902562</v>
      </c>
      <c r="L122">
        <f t="shared" ca="1" si="9"/>
        <v>8.3626473896545907E-3</v>
      </c>
      <c r="M122" s="40">
        <f t="shared" ca="1" si="10"/>
        <v>2.6073084414145173E-2</v>
      </c>
      <c r="N122">
        <f t="shared" ca="1" si="11"/>
        <v>2.2790192696116156</v>
      </c>
    </row>
    <row r="123" spans="11:14">
      <c r="K123">
        <f t="shared" ca="1" si="8"/>
        <v>0.82256533970924295</v>
      </c>
      <c r="L123">
        <f t="shared" ca="1" si="9"/>
        <v>1.2419682514283112E-2</v>
      </c>
      <c r="M123" s="40">
        <f t="shared" ca="1" si="10"/>
        <v>2.7561082178912021E-2</v>
      </c>
      <c r="N123">
        <f t="shared" ca="1" si="11"/>
        <v>3.2178276463009223</v>
      </c>
    </row>
    <row r="124" spans="11:14">
      <c r="K124">
        <f t="shared" ca="1" si="8"/>
        <v>0.81839206971567424</v>
      </c>
      <c r="L124">
        <f t="shared" ca="1" si="9"/>
        <v>1.2356671485414781E-2</v>
      </c>
      <c r="M124" s="40">
        <f t="shared" ca="1" si="10"/>
        <v>2.7541457165676572E-2</v>
      </c>
      <c r="N124">
        <f t="shared" ca="1" si="11"/>
        <v>3.203682474893462</v>
      </c>
    </row>
    <row r="125" spans="11:14">
      <c r="K125">
        <f t="shared" ca="1" si="8"/>
        <v>0.89686534295338716</v>
      </c>
      <c r="L125">
        <f t="shared" ca="1" si="9"/>
        <v>1.3541517348010313E-2</v>
      </c>
      <c r="M125" s="40">
        <f t="shared" ca="1" si="10"/>
        <v>2.7896810547883486E-2</v>
      </c>
      <c r="N125">
        <f t="shared" ca="1" si="11"/>
        <v>3.467648619526797</v>
      </c>
    </row>
    <row r="126" spans="11:14">
      <c r="K126">
        <f t="shared" ca="1" si="8"/>
        <v>0.99883063204203903</v>
      </c>
      <c r="L126">
        <f t="shared" ca="1" si="9"/>
        <v>1.5081062544998294E-2</v>
      </c>
      <c r="M126" s="40">
        <f t="shared" ca="1" si="10"/>
        <v>2.8320451913096824E-2</v>
      </c>
      <c r="N126">
        <f t="shared" ca="1" si="11"/>
        <v>3.8046257403738539</v>
      </c>
    </row>
    <row r="127" spans="11:14">
      <c r="K127">
        <f t="shared" ca="1" si="8"/>
        <v>0.12415294928636644</v>
      </c>
      <c r="L127">
        <f t="shared" ca="1" si="9"/>
        <v>1.8745504325450937E-3</v>
      </c>
      <c r="M127" s="40">
        <f t="shared" ca="1" si="10"/>
        <v>2.1014646862754692E-2</v>
      </c>
      <c r="N127">
        <f t="shared" ca="1" si="11"/>
        <v>0.59778636999355206</v>
      </c>
    </row>
    <row r="128" spans="11:14">
      <c r="K128">
        <f t="shared" ca="1" si="8"/>
        <v>0.28974027356334564</v>
      </c>
      <c r="L128">
        <f t="shared" ca="1" si="9"/>
        <v>4.3747068294055112E-3</v>
      </c>
      <c r="M128" s="40">
        <f t="shared" ca="1" si="10"/>
        <v>2.3783067276759842E-2</v>
      </c>
      <c r="N128">
        <f t="shared" ca="1" si="11"/>
        <v>1.2835040101478119</v>
      </c>
    </row>
    <row r="129" spans="11:14">
      <c r="K129">
        <f t="shared" ca="1" si="8"/>
        <v>0.60431687836663028</v>
      </c>
      <c r="L129">
        <f t="shared" ca="1" si="9"/>
        <v>9.1244104328407263E-3</v>
      </c>
      <c r="M129" s="40">
        <f t="shared" ca="1" si="10"/>
        <v>2.6394695655961142E-2</v>
      </c>
      <c r="N129">
        <f t="shared" ca="1" si="11"/>
        <v>2.4600451093490765</v>
      </c>
    </row>
    <row r="130" spans="11:14">
      <c r="K130">
        <f t="shared" ca="1" si="8"/>
        <v>0.17504697662524082</v>
      </c>
      <c r="L130">
        <f t="shared" ca="1" si="9"/>
        <v>2.6429850247994824E-3</v>
      </c>
      <c r="M130" s="40">
        <f t="shared" ca="1" si="10"/>
        <v>2.2109303793573305E-2</v>
      </c>
      <c r="N130">
        <f t="shared" ca="1" si="11"/>
        <v>0.81609621403473076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Life Insurance Products</vt:lpstr>
      <vt:lpstr>Health Insurance Products</vt:lpstr>
      <vt:lpstr>General Insurance Products</vt:lpstr>
      <vt:lpstr>Investments</vt:lpstr>
      <vt:lpstr>ACC</vt:lpstr>
      <vt:lpstr>Framework</vt:lpstr>
      <vt:lpstr>Behaviour of the markets</vt:lpstr>
      <vt:lpstr>Data and Assumptions Required</vt:lpstr>
      <vt:lpstr>Modelling type Qs</vt:lpstr>
      <vt:lpstr>Sheet4</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Gwanda Mphego</cp:lastModifiedBy>
  <dcterms:created xsi:type="dcterms:W3CDTF">2023-09-13T03:44:16Z</dcterms:created>
  <dcterms:modified xsi:type="dcterms:W3CDTF">2024-05-27T11:29:21Z</dcterms:modified>
</cp:coreProperties>
</file>